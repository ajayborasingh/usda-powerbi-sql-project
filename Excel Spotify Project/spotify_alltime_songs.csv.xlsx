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hidePivotFieldList="1" defaultThemeVersion="202300"/>
  <mc:AlternateContent xmlns:mc="http://schemas.openxmlformats.org/markup-compatibility/2006">
    <mc:Choice Requires="x15">
      <x15ac:absPath xmlns:x15ac="http://schemas.microsoft.com/office/spreadsheetml/2010/11/ac" url="C:\Users\ajay5\OneDrive\Desktop\archive\"/>
    </mc:Choice>
  </mc:AlternateContent>
  <xr:revisionPtr revIDLastSave="0" documentId="13_ncr:1_{F372B25B-E09C-4246-A089-8342E4E2360A}" xr6:coauthVersionLast="47" xr6:coauthVersionMax="47" xr10:uidLastSave="{00000000-0000-0000-0000-000000000000}"/>
  <bookViews>
    <workbookView xWindow="-108" yWindow="-108" windowWidth="23256" windowHeight="12456" tabRatio="590" firstSheet="1" activeTab="1" xr2:uid="{76FEB1FF-BFA8-40B1-822B-A1D11EFB3F80}"/>
  </bookViews>
  <sheets>
    <sheet name="Pivots" sheetId="5" state="hidden" r:id="rId1"/>
    <sheet name="Dashboard" sheetId="6" r:id="rId2"/>
    <sheet name="spotify_alltime_top100_songs" sheetId="1" r:id="rId3"/>
  </sheets>
  <definedNames>
    <definedName name="_xlnm._FilterDatabase" localSheetId="2" hidden="1">spotify_alltime_top100_songs!$A$1:$N$101</definedName>
    <definedName name="Slicer_artist">#N/A</definedName>
    <definedName name="Slicer_artist_country">#N/A</definedName>
    <definedName name="Slicer_explicit">#N/A</definedName>
    <definedName name="Slicer_primary_genre">#N/A</definedName>
  </definedNames>
  <calcPr calcId="191029"/>
  <pivotCaches>
    <pivotCache cacheId="3" r:id="rId4"/>
    <pivotCache cacheId="1" r:id="rId5"/>
    <pivotCache cacheId="2"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6" l="1"/>
  <c r="E5" i="6"/>
</calcChain>
</file>

<file path=xl/sharedStrings.xml><?xml version="1.0" encoding="utf-8"?>
<sst xmlns="http://schemas.openxmlformats.org/spreadsheetml/2006/main" count="660" uniqueCount="271">
  <si>
    <t>alltime_rank</t>
  </si>
  <si>
    <t>song_title</t>
  </si>
  <si>
    <t>artist</t>
  </si>
  <si>
    <t>total_streams_billions</t>
  </si>
  <si>
    <t>primary_genre</t>
  </si>
  <si>
    <t>bpm</t>
  </si>
  <si>
    <t>release_year</t>
  </si>
  <si>
    <t>artist_country</t>
  </si>
  <si>
    <t>explicit</t>
  </si>
  <si>
    <t>danceability</t>
  </si>
  <si>
    <t>energy</t>
  </si>
  <si>
    <t>valence</t>
  </si>
  <si>
    <t>acousticness</t>
  </si>
  <si>
    <t>dataset_part</t>
  </si>
  <si>
    <t>Blinding Lights</t>
  </si>
  <si>
    <t>The Weeknd</t>
  </si>
  <si>
    <t>Synth-Pop</t>
  </si>
  <si>
    <t>Canada</t>
  </si>
  <si>
    <t>Spotify All-Time Most Streamed Top 100</t>
  </si>
  <si>
    <t>Shape of You</t>
  </si>
  <si>
    <t>Ed Sheeran</t>
  </si>
  <si>
    <t>Pop/Dancehall</t>
  </si>
  <si>
    <t>UK</t>
  </si>
  <si>
    <t>Someone You Loved</t>
  </si>
  <si>
    <t>Lewis Capaldi</t>
  </si>
  <si>
    <t>Pop</t>
  </si>
  <si>
    <t>Sunflower</t>
  </si>
  <si>
    <t>Post Malone &amp; Swae Lee</t>
  </si>
  <si>
    <t>Hip-Hop/Pop</t>
  </si>
  <si>
    <t>USA</t>
  </si>
  <si>
    <t>One Dance</t>
  </si>
  <si>
    <t>Drake</t>
  </si>
  <si>
    <t>Afrobeats/Pop</t>
  </si>
  <si>
    <t>Stay</t>
  </si>
  <si>
    <t>The Kid LAROI &amp; Justin Bieber</t>
  </si>
  <si>
    <t>Australia</t>
  </si>
  <si>
    <t>Believer</t>
  </si>
  <si>
    <t>Imagine Dragons</t>
  </si>
  <si>
    <t>Alt Rock</t>
  </si>
  <si>
    <t>Rockstar</t>
  </si>
  <si>
    <t>Post Malone ft. 21 Savage</t>
  </si>
  <si>
    <t>Hip-Hop</t>
  </si>
  <si>
    <t>Dance Monkey</t>
  </si>
  <si>
    <t>Tones and I</t>
  </si>
  <si>
    <t>Happier</t>
  </si>
  <si>
    <t>Marshmello &amp; Bastille</t>
  </si>
  <si>
    <t>EDM/Pop</t>
  </si>
  <si>
    <t>USA/UK</t>
  </si>
  <si>
    <t>Senorita</t>
  </si>
  <si>
    <t>Shawn Mendes &amp; Camila Cabello</t>
  </si>
  <si>
    <t>Latin Pop</t>
  </si>
  <si>
    <t>Canada/Cuba</t>
  </si>
  <si>
    <t>Watermelon Sugar</t>
  </si>
  <si>
    <t>Harry Styles</t>
  </si>
  <si>
    <t>Indie Pop</t>
  </si>
  <si>
    <t>Perfect</t>
  </si>
  <si>
    <t>Pop/Folk</t>
  </si>
  <si>
    <t>Levitating</t>
  </si>
  <si>
    <t>Dua Lipa</t>
  </si>
  <si>
    <t>Nu-Disco</t>
  </si>
  <si>
    <t>Heat Waves</t>
  </si>
  <si>
    <t>Glass Animals</t>
  </si>
  <si>
    <t>Bad Guy</t>
  </si>
  <si>
    <t>Billie Eilish</t>
  </si>
  <si>
    <t>Electropop</t>
  </si>
  <si>
    <t>Drivers License</t>
  </si>
  <si>
    <t>Olivia Rodrigo</t>
  </si>
  <si>
    <t>Circles</t>
  </si>
  <si>
    <t>Post Malone</t>
  </si>
  <si>
    <t>Pop Rap</t>
  </si>
  <si>
    <t>Memories</t>
  </si>
  <si>
    <t>Maroon 5</t>
  </si>
  <si>
    <t>Shallow</t>
  </si>
  <si>
    <t>Lady Gaga &amp; Bradley Cooper</t>
  </si>
  <si>
    <t>Pop/Country</t>
  </si>
  <si>
    <t>As It Was</t>
  </si>
  <si>
    <t>Dynamite</t>
  </si>
  <si>
    <t>BTS</t>
  </si>
  <si>
    <t>Pop/Funk</t>
  </si>
  <si>
    <t>South Korea</t>
  </si>
  <si>
    <t>Flowers</t>
  </si>
  <si>
    <t>Miley Cyrus</t>
  </si>
  <si>
    <t>Counting Stars</t>
  </si>
  <si>
    <t>OneRepublic</t>
  </si>
  <si>
    <t>Pop Rock</t>
  </si>
  <si>
    <t>Lucid Dreams</t>
  </si>
  <si>
    <t>Juice WRLD</t>
  </si>
  <si>
    <t>Emo Rap</t>
  </si>
  <si>
    <t>Closer</t>
  </si>
  <si>
    <t>The Chainsmokers ft. Halsey</t>
  </si>
  <si>
    <t>Calm Down</t>
  </si>
  <si>
    <t>Rema &amp; Selena Gomez</t>
  </si>
  <si>
    <t>Nigeria/USA</t>
  </si>
  <si>
    <t>Anti-Hero</t>
  </si>
  <si>
    <t>Taylor Swift</t>
  </si>
  <si>
    <t>Save Your Tears</t>
  </si>
  <si>
    <t>Die For You</t>
  </si>
  <si>
    <t>R&amp;B</t>
  </si>
  <si>
    <t>Lovely</t>
  </si>
  <si>
    <t>Billie Eilish &amp; Khalid</t>
  </si>
  <si>
    <t>Uptown Funk</t>
  </si>
  <si>
    <t>Mark Ronson ft. Bruno Mars</t>
  </si>
  <si>
    <t>Funk/Pop</t>
  </si>
  <si>
    <t>Sweater Weather</t>
  </si>
  <si>
    <t>The Neighbourhood</t>
  </si>
  <si>
    <t>Indie Rock</t>
  </si>
  <si>
    <t>Cruel Summer</t>
  </si>
  <si>
    <t>Despacito</t>
  </si>
  <si>
    <t>Luis Fonsi ft. Daddy Yankee</t>
  </si>
  <si>
    <t>Reggaeton</t>
  </si>
  <si>
    <t>Puerto Rico</t>
  </si>
  <si>
    <t>Havana</t>
  </si>
  <si>
    <t>Camila Cabello ft. Young Thug</t>
  </si>
  <si>
    <t>Cuba/USA</t>
  </si>
  <si>
    <t>Easy On Me</t>
  </si>
  <si>
    <t>Adele</t>
  </si>
  <si>
    <t>Pop/Soul</t>
  </si>
  <si>
    <t>Lose Yourself</t>
  </si>
  <si>
    <t>Eminem</t>
  </si>
  <si>
    <t>Numb</t>
  </si>
  <si>
    <t>Linkin Park</t>
  </si>
  <si>
    <t>Smells Like Teen Spirit</t>
  </si>
  <si>
    <t>Nirvana</t>
  </si>
  <si>
    <t>Grunge</t>
  </si>
  <si>
    <t>Espresso</t>
  </si>
  <si>
    <t>Sabrina Carpenter</t>
  </si>
  <si>
    <t>Radioactive</t>
  </si>
  <si>
    <t>Running Up That Hill</t>
  </si>
  <si>
    <t>Kate Bush</t>
  </si>
  <si>
    <t>Art Pop</t>
  </si>
  <si>
    <t>Not Like Us</t>
  </si>
  <si>
    <t>Kendrick Lamar</t>
  </si>
  <si>
    <t>good 4 u</t>
  </si>
  <si>
    <t>Pop Punk</t>
  </si>
  <si>
    <t>All I Want for Christmas Is You</t>
  </si>
  <si>
    <t>Mariah Carey</t>
  </si>
  <si>
    <t>Holiday Pop</t>
  </si>
  <si>
    <t>Starboy</t>
  </si>
  <si>
    <t>The Weeknd ft. Daft Punk</t>
  </si>
  <si>
    <t>goosebumps</t>
  </si>
  <si>
    <t>Travis Scott</t>
  </si>
  <si>
    <t>7 rings</t>
  </si>
  <si>
    <t>Ariana Grande</t>
  </si>
  <si>
    <t>Trap Pop</t>
  </si>
  <si>
    <t>Die With A Smile</t>
  </si>
  <si>
    <t>Lady Gaga &amp; Bruno Mars</t>
  </si>
  <si>
    <t>Peaches</t>
  </si>
  <si>
    <t>Justin Bieber</t>
  </si>
  <si>
    <t>R&amp;B/Pop</t>
  </si>
  <si>
    <t>Falling</t>
  </si>
  <si>
    <t>Thunder</t>
  </si>
  <si>
    <t>Bad Habits</t>
  </si>
  <si>
    <t>Butter</t>
  </si>
  <si>
    <t>Night Changes</t>
  </si>
  <si>
    <t>One Direction</t>
  </si>
  <si>
    <t>High Hopes</t>
  </si>
  <si>
    <t>Panic! At The Disco</t>
  </si>
  <si>
    <t>Riptide</t>
  </si>
  <si>
    <t>Vance Joy</t>
  </si>
  <si>
    <t>Indie Folk</t>
  </si>
  <si>
    <t>Way Down We Go</t>
  </si>
  <si>
    <t>KALEO</t>
  </si>
  <si>
    <t>Blues Rock</t>
  </si>
  <si>
    <t>Iceland</t>
  </si>
  <si>
    <t>Heather</t>
  </si>
  <si>
    <t>Conan Gray</t>
  </si>
  <si>
    <t>Mood</t>
  </si>
  <si>
    <t>24kGoldn ft. iann dior</t>
  </si>
  <si>
    <t>Photograph</t>
  </si>
  <si>
    <t>Folk Pop</t>
  </si>
  <si>
    <t>Love Yourself</t>
  </si>
  <si>
    <t>Acoustic Pop</t>
  </si>
  <si>
    <t>Without Me</t>
  </si>
  <si>
    <t>Halsey</t>
  </si>
  <si>
    <t>Something Just Like This</t>
  </si>
  <si>
    <t>The Chainsmokers &amp; Coldplay</t>
  </si>
  <si>
    <t>Positions</t>
  </si>
  <si>
    <t>Roses</t>
  </si>
  <si>
    <t>SAINt JHN</t>
  </si>
  <si>
    <t>Thinking Out Loud</t>
  </si>
  <si>
    <t>Soul/R&amp;B</t>
  </si>
  <si>
    <t>Wrecking Ball</t>
  </si>
  <si>
    <t>golden hour</t>
  </si>
  <si>
    <t>JVKE</t>
  </si>
  <si>
    <t>Unstoppable</t>
  </si>
  <si>
    <t>Sia</t>
  </si>
  <si>
    <t>abcdefu</t>
  </si>
  <si>
    <t>GAYLE</t>
  </si>
  <si>
    <t>Sunroof</t>
  </si>
  <si>
    <t>Nicky Youre &amp; Dazy</t>
  </si>
  <si>
    <t>Beautiful Things</t>
  </si>
  <si>
    <t>Benson Boone</t>
  </si>
  <si>
    <t>middle of the night</t>
  </si>
  <si>
    <t>Elley DuhÃ©</t>
  </si>
  <si>
    <t>Savage Love</t>
  </si>
  <si>
    <t>Jawsh 685 &amp; Jason Derulo</t>
  </si>
  <si>
    <t>NZ/USA</t>
  </si>
  <si>
    <t>APT.</t>
  </si>
  <si>
    <t>ROSE &amp; Bruno Mars</t>
  </si>
  <si>
    <t>K-Pop/Pop</t>
  </si>
  <si>
    <t>Welcome To The Black Parade</t>
  </si>
  <si>
    <t>My Chemical Romance</t>
  </si>
  <si>
    <t>Iris</t>
  </si>
  <si>
    <t>Goo Goo Dolls</t>
  </si>
  <si>
    <t>Astronaut In The Ocean</t>
  </si>
  <si>
    <t>Masked Wolf</t>
  </si>
  <si>
    <t>Levii's Jeans</t>
  </si>
  <si>
    <t>BeyoncÃ© ft. Post Malone</t>
  </si>
  <si>
    <t>Country/Pop</t>
  </si>
  <si>
    <t>Lose Control</t>
  </si>
  <si>
    <t>Teddy Swims</t>
  </si>
  <si>
    <t>R&amp;B/Soul</t>
  </si>
  <si>
    <t>Too Sweet</t>
  </si>
  <si>
    <t>Hozier</t>
  </si>
  <si>
    <t>Ireland</t>
  </si>
  <si>
    <t>Sign of the Times</t>
  </si>
  <si>
    <t>Art Rock</t>
  </si>
  <si>
    <t>Adore You</t>
  </si>
  <si>
    <t>Arcade</t>
  </si>
  <si>
    <t>Duncan Laurence</t>
  </si>
  <si>
    <t>Netherlands</t>
  </si>
  <si>
    <t>See You Again</t>
  </si>
  <si>
    <t>Wiz Khalifa ft. Charlie Puth</t>
  </si>
  <si>
    <t>Attention</t>
  </si>
  <si>
    <t>Charlie Puth</t>
  </si>
  <si>
    <t>In The Stars</t>
  </si>
  <si>
    <t>Kiss Me More</t>
  </si>
  <si>
    <t>Doja Cat ft. SZA</t>
  </si>
  <si>
    <t>Pop/R&amp;B</t>
  </si>
  <si>
    <t>End Of Beginning</t>
  </si>
  <si>
    <t>Djo</t>
  </si>
  <si>
    <t>Ribs</t>
  </si>
  <si>
    <t>Lorde</t>
  </si>
  <si>
    <t>New Zealand</t>
  </si>
  <si>
    <t>Lemon Tree</t>
  </si>
  <si>
    <t>Fools Garden</t>
  </si>
  <si>
    <t>Germany</t>
  </si>
  <si>
    <t>Bliss</t>
  </si>
  <si>
    <t>Muse</t>
  </si>
  <si>
    <t>Stumblin' In</t>
  </si>
  <si>
    <t>Cyril &amp; Violet Skies</t>
  </si>
  <si>
    <t>Electricity</t>
  </si>
  <si>
    <t>Silk City &amp; Dua Lipa</t>
  </si>
  <si>
    <t>Blinding Lights (Remix)</t>
  </si>
  <si>
    <t>The Weeknd &amp; RosalÃ­a</t>
  </si>
  <si>
    <t>Canada/Spain</t>
  </si>
  <si>
    <t>Falling For You</t>
  </si>
  <si>
    <t>Peachy feat. mxmtoon</t>
  </si>
  <si>
    <t>Laugh Now Cry Later</t>
  </si>
  <si>
    <t>Drake ft. Lil Durk</t>
  </si>
  <si>
    <t>Shake It Off</t>
  </si>
  <si>
    <t>Row Labels</t>
  </si>
  <si>
    <t>Grand Total</t>
  </si>
  <si>
    <t>SPOTIFY STREAMING ANALYSIS</t>
  </si>
  <si>
    <t>Total Streams billions</t>
  </si>
  <si>
    <t>FALSE</t>
  </si>
  <si>
    <t>TRUE</t>
  </si>
  <si>
    <t>Average of energy</t>
  </si>
  <si>
    <t>Average of valence</t>
  </si>
  <si>
    <t>Average of danceability</t>
  </si>
  <si>
    <t>Total Streams Billions</t>
  </si>
  <si>
    <t>Total Streams</t>
  </si>
  <si>
    <t>Average Streams</t>
  </si>
  <si>
    <t>Sum of total_streams_billions</t>
  </si>
  <si>
    <t>Count of artist</t>
  </si>
  <si>
    <t>Genre</t>
  </si>
  <si>
    <t>Explicit</t>
  </si>
  <si>
    <t>Top 10 Artists</t>
  </si>
  <si>
    <t>Others</t>
  </si>
  <si>
    <t>Top 15 Songs</t>
  </si>
  <si>
    <t>Artist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</si>
</sst>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quot;B&quot;"/>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0"/>
      <color theme="1"/>
      <name val="Book Antiqua"/>
      <family val="1"/>
    </font>
    <font>
      <b/>
      <sz val="22"/>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3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5">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wrapText="1"/>
    </xf>
    <xf numFmtId="0" fontId="0" fillId="0" borderId="19" xfId="0" applyBorder="1"/>
    <xf numFmtId="0" fontId="18" fillId="0" borderId="11" xfId="0" applyFont="1" applyBorder="1" applyAlignment="1">
      <alignment horizontal="center" vertical="center"/>
    </xf>
    <xf numFmtId="0" fontId="18" fillId="0" borderId="12" xfId="0" applyFont="1" applyBorder="1" applyAlignment="1">
      <alignment horizontal="center" vertical="center"/>
    </xf>
    <xf numFmtId="0" fontId="18" fillId="0" borderId="13" xfId="0" applyFont="1" applyBorder="1" applyAlignment="1">
      <alignment horizontal="center" vertical="center"/>
    </xf>
    <xf numFmtId="0" fontId="18" fillId="0" borderId="14" xfId="0" applyFont="1" applyBorder="1" applyAlignment="1">
      <alignment horizontal="center" vertical="center"/>
    </xf>
    <xf numFmtId="0" fontId="18" fillId="0" borderId="15" xfId="0" applyFont="1" applyBorder="1" applyAlignment="1">
      <alignment horizontal="center" vertical="center"/>
    </xf>
    <xf numFmtId="0" fontId="18" fillId="0" borderId="16" xfId="0" applyFont="1" applyBorder="1" applyAlignment="1">
      <alignment horizontal="center" vertical="center"/>
    </xf>
    <xf numFmtId="0" fontId="18" fillId="0" borderId="17" xfId="0" applyFont="1" applyBorder="1" applyAlignment="1">
      <alignment horizontal="center" vertical="center"/>
    </xf>
    <xf numFmtId="0" fontId="18" fillId="0" borderId="18" xfId="0" applyFont="1" applyBorder="1" applyAlignment="1">
      <alignment horizontal="center" vertical="center"/>
    </xf>
    <xf numFmtId="165" fontId="19" fillId="0" borderId="10" xfId="0" applyNumberFormat="1" applyFont="1" applyBorder="1" applyAlignment="1">
      <alignment horizontal="center" vertical="center"/>
    </xf>
    <xf numFmtId="165" fontId="19" fillId="0" borderId="0" xfId="0" applyNumberFormat="1" applyFont="1" applyAlignment="1">
      <alignment horizontal="center" vertical="center"/>
    </xf>
    <xf numFmtId="0" fontId="0" fillId="0" borderId="0" xfId="0" applyNumberFormat="1"/>
    <xf numFmtId="0" fontId="18" fillId="0" borderId="0" xfId="0" applyFont="1" applyBorder="1" applyAlignment="1">
      <alignment horizontal="center" vertical="center"/>
    </xf>
    <xf numFmtId="0" fontId="0" fillId="0" borderId="23" xfId="0" applyBorder="1"/>
    <xf numFmtId="0" fontId="0" fillId="0" borderId="13" xfId="0" applyBorder="1"/>
    <xf numFmtId="0" fontId="0" fillId="0" borderId="15" xfId="0" applyBorder="1"/>
    <xf numFmtId="0" fontId="0" fillId="0" borderId="18" xfId="0" applyBorder="1"/>
    <xf numFmtId="0" fontId="16" fillId="0" borderId="25" xfId="0" applyFont="1" applyBorder="1" applyAlignment="1">
      <alignment horizontal="center"/>
    </xf>
    <xf numFmtId="0" fontId="16" fillId="0" borderId="28" xfId="0" applyFont="1" applyBorder="1" applyAlignment="1">
      <alignment horizontal="center"/>
    </xf>
    <xf numFmtId="165" fontId="19" fillId="0" borderId="22" xfId="0" applyNumberFormat="1" applyFont="1" applyBorder="1" applyAlignment="1">
      <alignment horizontal="center" vertical="center"/>
    </xf>
    <xf numFmtId="165" fontId="19" fillId="0" borderId="24" xfId="0" applyNumberFormat="1" applyFont="1" applyBorder="1" applyAlignment="1">
      <alignment horizontal="center" vertical="center"/>
    </xf>
    <xf numFmtId="165" fontId="19" fillId="0" borderId="27" xfId="0" applyNumberFormat="1" applyFont="1" applyBorder="1" applyAlignment="1">
      <alignment horizontal="center" vertical="center"/>
    </xf>
    <xf numFmtId="0" fontId="18" fillId="0" borderId="0" xfId="0" applyFont="1" applyBorder="1" applyAlignment="1">
      <alignment vertical="center"/>
    </xf>
    <xf numFmtId="0" fontId="0" fillId="0" borderId="20" xfId="0" pivotButton="1" applyBorder="1"/>
    <xf numFmtId="0" fontId="0" fillId="0" borderId="29" xfId="0" pivotButton="1" applyBorder="1"/>
    <xf numFmtId="165" fontId="0" fillId="0" borderId="15" xfId="0" applyNumberFormat="1" applyBorder="1"/>
    <xf numFmtId="165" fontId="0" fillId="0" borderId="18" xfId="0" applyNumberFormat="1" applyBorder="1"/>
    <xf numFmtId="165" fontId="0" fillId="0" borderId="30" xfId="0" applyNumberFormat="1" applyBorder="1"/>
    <xf numFmtId="165" fontId="0" fillId="0" borderId="31" xfId="0" applyNumberFormat="1" applyBorder="1"/>
    <xf numFmtId="165" fontId="0" fillId="0" borderId="32" xfId="0" applyNumberFormat="1" applyBorder="1"/>
    <xf numFmtId="0" fontId="0" fillId="0" borderId="26" xfId="0" pivotButton="1" applyBorder="1"/>
    <xf numFmtId="0" fontId="0" fillId="0" borderId="26" xfId="0" applyBorder="1"/>
    <xf numFmtId="0" fontId="0" fillId="0" borderId="33" xfId="0" applyBorder="1"/>
    <xf numFmtId="0" fontId="0" fillId="0" borderId="21" xfId="0" applyBorder="1"/>
    <xf numFmtId="165" fontId="0" fillId="0" borderId="34" xfId="0" applyNumberFormat="1" applyBorder="1"/>
    <xf numFmtId="0" fontId="0" fillId="0" borderId="35" xfId="0" applyBorder="1"/>
    <xf numFmtId="0" fontId="0" fillId="0" borderId="36" xfId="0" applyBorder="1"/>
    <xf numFmtId="0" fontId="0" fillId="0" borderId="31" xfId="0" applyBorder="1" applyAlignment="1">
      <alignment horizontal="left"/>
    </xf>
    <xf numFmtId="0" fontId="0" fillId="0" borderId="30" xfId="0" applyBorder="1" applyAlignment="1">
      <alignment horizontal="left" wrapText="1"/>
    </xf>
    <xf numFmtId="0" fontId="0" fillId="0" borderId="32" xfId="0" applyBorder="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95">
    <dxf>
      <alignment wrapText="1"/>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5" formatCode="0.00&quot;B&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5" formatCode="0.00&quot;B&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medium">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medium">
          <color indexed="64"/>
        </left>
        <right style="medium">
          <color indexed="64"/>
        </right>
        <top style="medium">
          <color indexed="64"/>
        </top>
        <bottom style="medium">
          <color indexed="64"/>
        </bottom>
      </border>
    </dxf>
    <dxf>
      <border>
        <left style="thin">
          <color indexed="64"/>
        </left>
        <top style="thin">
          <color indexed="64"/>
        </top>
        <bottom style="thin">
          <color indexed="64"/>
        </bottom>
      </border>
    </dxf>
    <dxf>
      <border>
        <right style="thin">
          <color indexed="64"/>
        </right>
      </border>
    </dxf>
    <dxf>
      <border>
        <left/>
        <right/>
        <top/>
        <bottom/>
        <horizontal/>
      </border>
    </dxf>
    <dxf>
      <border>
        <left style="medium">
          <color indexed="64"/>
        </left>
        <right style="medium">
          <color indexed="64"/>
        </right>
        <top style="medium">
          <color indexed="64"/>
        </top>
        <bottom style="medium">
          <color indexed="64"/>
        </bottom>
      </border>
    </dxf>
    <dxf>
      <border>
        <left style="thin">
          <color indexed="64"/>
        </left>
        <top style="thin">
          <color indexed="64"/>
        </top>
        <bottom style="thin">
          <color indexed="64"/>
        </bottom>
      </border>
    </dxf>
    <dxf>
      <border>
        <right style="thin">
          <color indexed="64"/>
        </right>
      </border>
    </dxf>
    <dxf>
      <border>
        <left/>
        <right/>
        <top/>
        <bottom/>
        <horizontal/>
      </border>
    </dxf>
    <dxf>
      <border>
        <left style="medium">
          <color indexed="64"/>
        </left>
        <right style="medium">
          <color indexed="64"/>
        </right>
        <top style="medium">
          <color indexed="64"/>
        </top>
        <bottom style="medium">
          <color indexed="64"/>
        </bottom>
      </border>
    </dxf>
    <dxf>
      <border>
        <left style="thin">
          <color indexed="64"/>
        </left>
        <top style="thin">
          <color indexed="64"/>
        </top>
        <bottom style="thin">
          <color indexed="64"/>
        </bottom>
      </border>
    </dxf>
    <dxf>
      <border>
        <right style="thin">
          <color indexed="64"/>
        </right>
      </border>
    </dxf>
    <dxf>
      <border>
        <left/>
        <right/>
        <top/>
        <bottom/>
        <horizontal/>
      </border>
    </dxf>
    <dxf>
      <border>
        <left style="medium">
          <color indexed="64"/>
        </left>
        <right style="medium">
          <color indexed="64"/>
        </right>
        <top style="medium">
          <color indexed="64"/>
        </top>
        <bottom style="medium">
          <color indexed="64"/>
        </bottom>
      </border>
    </dxf>
    <dxf>
      <border>
        <left style="thin">
          <color indexed="64"/>
        </left>
        <top style="thin">
          <color indexed="64"/>
        </top>
        <bottom style="thin">
          <color indexed="64"/>
        </bottom>
      </border>
    </dxf>
    <dxf>
      <border>
        <right style="thin">
          <color indexed="64"/>
        </right>
      </border>
    </dxf>
    <dxf>
      <border>
        <left/>
        <right/>
        <top/>
        <bottom/>
        <horizontal/>
      </border>
    </dxf>
    <dxf>
      <border>
        <left style="medium">
          <color indexed="64"/>
        </left>
        <right style="medium">
          <color indexed="64"/>
        </right>
        <top style="medium">
          <color indexed="64"/>
        </top>
        <bottom style="medium">
          <color indexed="64"/>
        </bottom>
      </border>
    </dxf>
    <dxf>
      <border>
        <left style="thin">
          <color indexed="64"/>
        </left>
        <top style="thin">
          <color indexed="64"/>
        </top>
        <bottom style="thin">
          <color indexed="64"/>
        </bottom>
      </border>
    </dxf>
    <dxf>
      <border>
        <right style="thin">
          <color indexed="64"/>
        </right>
      </border>
    </dxf>
    <dxf>
      <border>
        <left/>
        <right/>
        <top/>
        <bottom/>
        <horizontal/>
      </border>
    </dxf>
    <dxf>
      <border>
        <left style="medium">
          <color indexed="64"/>
        </left>
        <right style="medium">
          <color indexed="64"/>
        </right>
        <top style="medium">
          <color indexed="64"/>
        </top>
        <bottom style="medium">
          <color indexed="64"/>
        </bottom>
      </border>
    </dxf>
    <dxf>
      <border>
        <left style="thin">
          <color indexed="64"/>
        </left>
        <top style="thin">
          <color indexed="64"/>
        </top>
        <bottom style="thin">
          <color indexed="64"/>
        </bottom>
      </border>
    </dxf>
    <dxf>
      <border>
        <right style="thin">
          <color indexed="64"/>
        </right>
      </border>
    </dxf>
    <dxf>
      <border>
        <left/>
        <right/>
        <top/>
        <bottom/>
        <horizontal/>
      </border>
    </dxf>
    <dxf>
      <border>
        <left style="medium">
          <color indexed="64"/>
        </left>
        <right style="medium">
          <color indexed="64"/>
        </right>
        <top style="medium">
          <color indexed="64"/>
        </top>
        <bottom style="medium">
          <color indexed="64"/>
        </bottom>
      </border>
    </dxf>
    <dxf>
      <border>
        <left style="thin">
          <color indexed="64"/>
        </left>
        <top style="thin">
          <color indexed="64"/>
        </top>
        <bottom style="thin">
          <color indexed="64"/>
        </bottom>
      </border>
    </dxf>
    <dxf>
      <border>
        <right style="thin">
          <color indexed="64"/>
        </right>
      </border>
    </dxf>
    <dxf>
      <border>
        <left/>
        <right/>
        <top/>
        <bottom/>
        <horizontal/>
      </border>
    </dxf>
    <dxf>
      <border>
        <left style="medium">
          <color indexed="64"/>
        </left>
        <right style="medium">
          <color indexed="64"/>
        </right>
        <top style="medium">
          <color indexed="64"/>
        </top>
        <bottom style="medium">
          <color indexed="64"/>
        </bottom>
      </border>
    </dxf>
    <dxf>
      <border>
        <left style="thin">
          <color indexed="64"/>
        </left>
        <top style="thin">
          <color indexed="64"/>
        </top>
        <bottom style="thin">
          <color indexed="64"/>
        </bottom>
      </border>
    </dxf>
    <dxf>
      <border>
        <right style="thin">
          <color indexed="64"/>
        </right>
      </border>
    </dxf>
    <dxf>
      <border>
        <left/>
        <right/>
        <top/>
        <bottom/>
        <horizontal/>
      </border>
    </dxf>
    <dxf>
      <border>
        <left style="medium">
          <color indexed="64"/>
        </left>
        <right style="medium">
          <color indexed="64"/>
        </right>
        <top style="medium">
          <color indexed="64"/>
        </top>
        <bottom style="medium">
          <color indexed="64"/>
        </bottom>
      </border>
    </dxf>
    <dxf>
      <border>
        <left style="thin">
          <color indexed="64"/>
        </left>
        <top style="thin">
          <color indexed="64"/>
        </top>
        <bottom style="thin">
          <color indexed="64"/>
        </bottom>
      </border>
    </dxf>
    <dxf>
      <border>
        <right style="thin">
          <color indexed="64"/>
        </right>
      </border>
    </dxf>
    <dxf>
      <border>
        <left/>
        <right/>
        <top/>
        <bottom/>
        <horizontal/>
      </border>
    </dxf>
    <dxf>
      <border>
        <left style="medium">
          <color indexed="64"/>
        </left>
        <right style="medium">
          <color indexed="64"/>
        </right>
        <top style="medium">
          <color indexed="64"/>
        </top>
        <bottom style="medium">
          <color indexed="64"/>
        </bottom>
      </border>
    </dxf>
    <dxf>
      <border>
        <left style="thin">
          <color indexed="64"/>
        </left>
        <top style="thin">
          <color indexed="64"/>
        </top>
        <bottom style="thin">
          <color indexed="64"/>
        </bottom>
      </border>
    </dxf>
    <dxf>
      <border>
        <right style="thin">
          <color indexed="64"/>
        </right>
      </border>
    </dxf>
    <dxf>
      <border>
        <left/>
        <right/>
        <top/>
        <bottom/>
        <horizontal/>
      </border>
    </dxf>
    <dxf>
      <border>
        <left style="medium">
          <color indexed="64"/>
        </left>
        <right style="medium">
          <color indexed="64"/>
        </right>
        <top style="medium">
          <color indexed="64"/>
        </top>
        <bottom style="medium">
          <color indexed="64"/>
        </bottom>
      </border>
    </dxf>
    <dxf>
      <border>
        <left style="thin">
          <color indexed="64"/>
        </left>
        <top style="thin">
          <color indexed="64"/>
        </top>
        <bottom style="thin">
          <color indexed="64"/>
        </bottom>
      </border>
    </dxf>
    <dxf>
      <border>
        <right style="thin">
          <color indexed="64"/>
        </right>
      </border>
    </dxf>
    <dxf>
      <border>
        <left/>
        <right/>
        <top/>
        <bottom/>
        <horizontal/>
      </border>
    </dxf>
    <dxf>
      <border>
        <left style="medium">
          <color indexed="64"/>
        </left>
        <right style="medium">
          <color indexed="64"/>
        </right>
        <top style="medium">
          <color indexed="64"/>
        </top>
        <bottom style="medium">
          <color indexed="64"/>
        </bottom>
      </border>
    </dxf>
    <dxf>
      <border>
        <left style="thin">
          <color indexed="64"/>
        </left>
        <top style="thin">
          <color indexed="64"/>
        </top>
        <bottom style="thin">
          <color indexed="64"/>
        </bottom>
      </border>
    </dxf>
    <dxf>
      <border>
        <right style="thin">
          <color indexed="64"/>
        </right>
      </border>
    </dxf>
    <dxf>
      <border>
        <left/>
        <right/>
        <top/>
        <bottom/>
        <horizontal/>
      </border>
    </dxf>
    <dxf>
      <border>
        <left style="medium">
          <color indexed="64"/>
        </left>
        <right style="medium">
          <color indexed="64"/>
        </right>
        <top style="medium">
          <color indexed="64"/>
        </top>
        <bottom style="medium">
          <color indexed="64"/>
        </bottom>
      </border>
    </dxf>
    <dxf>
      <border>
        <left style="thin">
          <color indexed="64"/>
        </left>
        <top style="thin">
          <color indexed="64"/>
        </top>
        <bottom style="thin">
          <color indexed="64"/>
        </bottom>
      </border>
    </dxf>
    <dxf>
      <border>
        <right style="thin">
          <color indexed="64"/>
        </right>
      </border>
    </dxf>
    <dxf>
      <border>
        <left/>
        <right/>
        <top/>
        <bottom/>
        <horizontal/>
      </border>
    </dxf>
    <dxf>
      <border>
        <left style="medium">
          <color indexed="64"/>
        </left>
        <right style="medium">
          <color indexed="64"/>
        </right>
        <top style="medium">
          <color indexed="64"/>
        </top>
        <bottom style="medium">
          <color indexed="64"/>
        </bottom>
      </border>
    </dxf>
    <dxf>
      <border>
        <left style="thin">
          <color indexed="64"/>
        </left>
        <top style="thin">
          <color indexed="64"/>
        </top>
        <bottom style="thin">
          <color indexed="64"/>
        </bottom>
      </border>
    </dxf>
    <dxf>
      <border>
        <right style="thin">
          <color indexed="64"/>
        </right>
      </border>
    </dxf>
    <dxf>
      <border>
        <left/>
        <right/>
        <top/>
        <bottom/>
        <horizontal/>
      </border>
    </dxf>
    <dxf>
      <border>
        <left style="medium">
          <color indexed="64"/>
        </left>
        <right style="medium">
          <color indexed="64"/>
        </right>
        <top style="medium">
          <color indexed="64"/>
        </top>
        <bottom style="medium">
          <color indexed="64"/>
        </bottom>
      </border>
    </dxf>
    <dxf>
      <border>
        <left style="thin">
          <color indexed="64"/>
        </left>
        <top style="thin">
          <color indexed="64"/>
        </top>
        <bottom style="thin">
          <color indexed="64"/>
        </bottom>
      </border>
    </dxf>
    <dxf>
      <border>
        <right style="thin">
          <color indexed="64"/>
        </right>
      </border>
    </dxf>
    <dxf>
      <border>
        <left/>
        <right/>
        <top/>
        <bottom/>
        <horizontal/>
      </border>
    </dxf>
    <dxf>
      <numFmt numFmtId="165" formatCode="0.00&quot;B&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numFmt numFmtId="165" formatCode="0.00&quot;B&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numFmt numFmtId="165" formatCode="0.00&quot;B&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numFmt numFmtId="165" formatCode="0.00&quot;B&quot;"/>
    </dxf>
    <dxf>
      <numFmt numFmtId="165" formatCode="0.00&quot;B&quot;"/>
    </dxf>
    <dxf>
      <numFmt numFmtId="165" formatCode="0.00&quot;B&quot;"/>
    </dxf>
    <dxf>
      <numFmt numFmtId="165" formatCode="0.00&quot;B&quot;"/>
    </dxf>
    <dxf>
      <numFmt numFmtId="165" formatCode="0.00&quot;B&quot;"/>
    </dxf>
    <dxf>
      <numFmt numFmtId="165" formatCode="0.00&quot;B&quot;"/>
    </dxf>
    <dxf>
      <alignment wrapText="1"/>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theme" Target="theme/theme1.xml"/><Relationship Id="rId5" Type="http://schemas.openxmlformats.org/officeDocument/2006/relationships/pivotCacheDefinition" Target="pivotCache/pivotCacheDefinition2.xml"/><Relationship Id="rId10" Type="http://schemas.microsoft.com/office/2007/relationships/slicerCache" Target="slicerCaches/slicerCache4.xml"/><Relationship Id="rId4" Type="http://schemas.openxmlformats.org/officeDocument/2006/relationships/pivotCacheDefinition" Target="pivotCache/pivotCacheDefinition1.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Top 10 Artists by Streams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v>Total</c:v>
          </c:tx>
          <c:spPr>
            <a:solidFill>
              <a:schemeClr val="accent6"/>
            </a:solidFill>
            <a:ln>
              <a:noFill/>
            </a:ln>
            <a:effectLst/>
            <a:sp3d/>
          </c:spPr>
          <c:invertIfNegative val="0"/>
          <c:cat>
            <c:strLit>
              <c:ptCount val="10"/>
              <c:pt idx="0">
                <c:v>Ed Sheeran</c:v>
              </c:pt>
              <c:pt idx="1">
                <c:v>Harry Styles</c:v>
              </c:pt>
              <c:pt idx="2">
                <c:v>The Weeknd</c:v>
              </c:pt>
              <c:pt idx="3">
                <c:v>Imagine Dragons</c:v>
              </c:pt>
              <c:pt idx="4">
                <c:v>Taylor Swift</c:v>
              </c:pt>
              <c:pt idx="5">
                <c:v>Miley Cyrus</c:v>
              </c:pt>
              <c:pt idx="6">
                <c:v>Ariana Grande</c:v>
              </c:pt>
              <c:pt idx="7">
                <c:v>Olivia Rodrigo</c:v>
              </c:pt>
              <c:pt idx="8">
                <c:v>BTS</c:v>
              </c:pt>
              <c:pt idx="9">
                <c:v>Justin Bieber</c:v>
              </c:pt>
            </c:strLit>
          </c:cat>
          <c:val>
            <c:numLit>
              <c:formatCode>General</c:formatCode>
              <c:ptCount val="10"/>
              <c:pt idx="0">
                <c:v>15.62</c:v>
              </c:pt>
              <c:pt idx="1">
                <c:v>13.15</c:v>
              </c:pt>
              <c:pt idx="2">
                <c:v>11</c:v>
              </c:pt>
              <c:pt idx="3">
                <c:v>8.99</c:v>
              </c:pt>
              <c:pt idx="4">
                <c:v>7.3100000000000005</c:v>
              </c:pt>
              <c:pt idx="5">
                <c:v>5.24</c:v>
              </c:pt>
              <c:pt idx="6">
                <c:v>5.21</c:v>
              </c:pt>
              <c:pt idx="7">
                <c:v>4.82</c:v>
              </c:pt>
              <c:pt idx="8">
                <c:v>4.79</c:v>
              </c:pt>
              <c:pt idx="9">
                <c:v>4.53</c:v>
              </c:pt>
            </c:numLit>
          </c:val>
          <c:extLst>
            <c:ext xmlns:c16="http://schemas.microsoft.com/office/drawing/2014/chart" uri="{C3380CC4-5D6E-409C-BE32-E72D297353CC}">
              <c16:uniqueId val="{00000000-4237-492B-BC1E-98E1AD226069}"/>
            </c:ext>
          </c:extLst>
        </c:ser>
        <c:dLbls>
          <c:showLegendKey val="0"/>
          <c:showVal val="0"/>
          <c:showCatName val="0"/>
          <c:showSerName val="0"/>
          <c:showPercent val="0"/>
          <c:showBubbleSize val="0"/>
        </c:dLbls>
        <c:gapWidth val="150"/>
        <c:shape val="box"/>
        <c:axId val="24332688"/>
        <c:axId val="24333648"/>
        <c:axId val="0"/>
      </c:bar3DChart>
      <c:catAx>
        <c:axId val="243326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4333648"/>
        <c:crosses val="autoZero"/>
        <c:auto val="1"/>
        <c:lblAlgn val="ctr"/>
        <c:lblOffset val="100"/>
        <c:noMultiLvlLbl val="0"/>
      </c:catAx>
      <c:valAx>
        <c:axId val="243336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4332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[spotify_alltime_songs.csv.xlsx]Pivots!PivotTable6</c:name>
    <c:fmtId val="4"/>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Explict Songs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6">
              <a:tint val="77000"/>
            </a:schemeClr>
          </a:solidFill>
          <a:ln w="19050">
            <a:solidFill>
              <a:schemeClr val="lt1"/>
            </a:solidFill>
          </a:ln>
          <a:effectLst/>
        </c:spPr>
      </c:pivotFmt>
      <c:pivotFmt>
        <c:idx val="6"/>
        <c:spPr>
          <a:solidFill>
            <a:schemeClr val="accent6">
              <a:shade val="76000"/>
            </a:schemeClr>
          </a:solidFill>
          <a:ln w="19050">
            <a:solidFill>
              <a:schemeClr val="lt1"/>
            </a:solidFill>
          </a:ln>
          <a:effectLst/>
        </c:spPr>
      </c:pivotFmt>
    </c:pivotFmts>
    <c:plotArea>
      <c:layout/>
      <c:pieChart>
        <c:varyColors val="1"/>
        <c:ser>
          <c:idx val="0"/>
          <c:order val="0"/>
          <c:tx>
            <c:strRef>
              <c:f>Pivots!$B$4</c:f>
              <c:strCache>
                <c:ptCount val="1"/>
                <c:pt idx="0">
                  <c:v>Total</c:v>
                </c:pt>
              </c:strCache>
            </c:strRef>
          </c:tx>
          <c:dPt>
            <c:idx val="0"/>
            <c:bubble3D val="0"/>
            <c:spPr>
              <a:solidFill>
                <a:schemeClr val="accent6">
                  <a:tint val="77000"/>
                </a:schemeClr>
              </a:solidFill>
              <a:ln w="19050">
                <a:solidFill>
                  <a:schemeClr val="lt1"/>
                </a:solidFill>
              </a:ln>
              <a:effectLst/>
            </c:spPr>
            <c:extLst>
              <c:ext xmlns:c16="http://schemas.microsoft.com/office/drawing/2014/chart" uri="{C3380CC4-5D6E-409C-BE32-E72D297353CC}">
                <c16:uniqueId val="{00000001-6212-43AB-A4F1-5D254693FE76}"/>
              </c:ext>
            </c:extLst>
          </c:dPt>
          <c:dPt>
            <c:idx val="1"/>
            <c:bubble3D val="0"/>
            <c:spPr>
              <a:solidFill>
                <a:schemeClr val="accent6">
                  <a:shade val="76000"/>
                </a:schemeClr>
              </a:solidFill>
              <a:ln w="19050">
                <a:solidFill>
                  <a:schemeClr val="lt1"/>
                </a:solidFill>
              </a:ln>
              <a:effectLst/>
            </c:spPr>
            <c:extLst>
              <c:ext xmlns:c16="http://schemas.microsoft.com/office/drawing/2014/chart" uri="{C3380CC4-5D6E-409C-BE32-E72D297353CC}">
                <c16:uniqueId val="{00000003-6212-43AB-A4F1-5D254693FE7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Pivots!$A$5:$A$7</c:f>
              <c:strCache>
                <c:ptCount val="2"/>
                <c:pt idx="0">
                  <c:v>FALSE</c:v>
                </c:pt>
                <c:pt idx="1">
                  <c:v>TRUE</c:v>
                </c:pt>
              </c:strCache>
            </c:strRef>
          </c:cat>
          <c:val>
            <c:numRef>
              <c:f>Pivots!$B$5:$B$7</c:f>
              <c:numCache>
                <c:formatCode>General</c:formatCode>
                <c:ptCount val="2"/>
                <c:pt idx="0">
                  <c:v>218.77999999999994</c:v>
                </c:pt>
                <c:pt idx="1">
                  <c:v>33.679999999999993</c:v>
                </c:pt>
              </c:numCache>
            </c:numRef>
          </c:val>
          <c:extLst>
            <c:ext xmlns:c16="http://schemas.microsoft.com/office/drawing/2014/chart" uri="{C3380CC4-5D6E-409C-BE32-E72D297353CC}">
              <c16:uniqueId val="{00000004-87D5-4F80-9BB5-5665F7F7A3BB}"/>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[spotify_alltime_songs.csv.xlsx]Pivots!PivotTable4</c:name>
    <c:fmtId val="4"/>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Streams by Artist Country</a:t>
            </a:r>
          </a:p>
        </c:rich>
      </c:tx>
      <c:layout>
        <c:manualLayout>
          <c:xMode val="edge"/>
          <c:yMode val="edge"/>
          <c:x val="0.43796774565186969"/>
          <c:y val="5.965808078931390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483641031443841"/>
          <c:y val="0.1598161295411844"/>
          <c:w val="0.69357794390161109"/>
          <c:h val="0.70860548169183768"/>
        </c:manualLayout>
      </c:layout>
      <c:bar3DChart>
        <c:barDir val="bar"/>
        <c:grouping val="clustered"/>
        <c:varyColors val="0"/>
        <c:ser>
          <c:idx val="0"/>
          <c:order val="0"/>
          <c:tx>
            <c:strRef>
              <c:f>Pivots!$H$3</c:f>
              <c:strCache>
                <c:ptCount val="1"/>
                <c:pt idx="0">
                  <c:v>Total</c:v>
                </c:pt>
              </c:strCache>
            </c:strRef>
          </c:tx>
          <c:spPr>
            <a:solidFill>
              <a:schemeClr val="accent6"/>
            </a:solidFill>
            <a:ln>
              <a:noFill/>
            </a:ln>
            <a:effectLst/>
            <a:sp3d/>
          </c:spPr>
          <c:invertIfNegative val="0"/>
          <c:cat>
            <c:strRef>
              <c:f>Pivots!$G$4:$G$12</c:f>
              <c:strCache>
                <c:ptCount val="8"/>
                <c:pt idx="0">
                  <c:v>Australia</c:v>
                </c:pt>
                <c:pt idx="1">
                  <c:v>Canada</c:v>
                </c:pt>
                <c:pt idx="2">
                  <c:v>Canada/Cuba</c:v>
                </c:pt>
                <c:pt idx="3">
                  <c:v>Others</c:v>
                </c:pt>
                <c:pt idx="4">
                  <c:v>South Korea</c:v>
                </c:pt>
                <c:pt idx="5">
                  <c:v>UK</c:v>
                </c:pt>
                <c:pt idx="6">
                  <c:v>USA</c:v>
                </c:pt>
                <c:pt idx="7">
                  <c:v>USA/UK</c:v>
                </c:pt>
              </c:strCache>
            </c:strRef>
          </c:cat>
          <c:val>
            <c:numRef>
              <c:f>Pivots!$H$4:$H$12</c:f>
              <c:numCache>
                <c:formatCode>General</c:formatCode>
                <c:ptCount val="8"/>
                <c:pt idx="0">
                  <c:v>14.719999999999999</c:v>
                </c:pt>
                <c:pt idx="1">
                  <c:v>25.12</c:v>
                </c:pt>
                <c:pt idx="2">
                  <c:v>3.62</c:v>
                </c:pt>
                <c:pt idx="3">
                  <c:v>20.98</c:v>
                </c:pt>
                <c:pt idx="4">
                  <c:v>6.45</c:v>
                </c:pt>
                <c:pt idx="5">
                  <c:v>49.159999999999989</c:v>
                </c:pt>
                <c:pt idx="6">
                  <c:v>125.86000000000004</c:v>
                </c:pt>
                <c:pt idx="7">
                  <c:v>6.55</c:v>
                </c:pt>
              </c:numCache>
            </c:numRef>
          </c:val>
          <c:extLst>
            <c:ext xmlns:c16="http://schemas.microsoft.com/office/drawing/2014/chart" uri="{C3380CC4-5D6E-409C-BE32-E72D297353CC}">
              <c16:uniqueId val="{00000000-FC5A-42C1-A0AF-07A07E8EB506}"/>
            </c:ext>
          </c:extLst>
        </c:ser>
        <c:dLbls>
          <c:showLegendKey val="0"/>
          <c:showVal val="0"/>
          <c:showCatName val="0"/>
          <c:showSerName val="0"/>
          <c:showPercent val="0"/>
          <c:showBubbleSize val="0"/>
        </c:dLbls>
        <c:gapWidth val="150"/>
        <c:shape val="box"/>
        <c:axId val="24358128"/>
        <c:axId val="24361488"/>
        <c:axId val="0"/>
      </c:bar3DChart>
      <c:catAx>
        <c:axId val="243581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4361488"/>
        <c:crosses val="autoZero"/>
        <c:auto val="1"/>
        <c:lblAlgn val="ctr"/>
        <c:lblOffset val="100"/>
        <c:noMultiLvlLbl val="0"/>
      </c:catAx>
      <c:valAx>
        <c:axId val="243614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4358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[spotify_alltime_songs.csv.xlsx]Pivots!PivotTable5</c:name>
    <c:fmtId val="4"/>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Genre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s>
    <c:plotArea>
      <c:layout>
        <c:manualLayout>
          <c:layoutTarget val="inner"/>
          <c:xMode val="edge"/>
          <c:yMode val="edge"/>
          <c:x val="0.12588354388107054"/>
          <c:y val="0.26672369310678079"/>
          <c:w val="0.49401856577072994"/>
          <c:h val="0.68718578147211684"/>
        </c:manualLayout>
      </c:layout>
      <c:pieChart>
        <c:varyColors val="1"/>
        <c:ser>
          <c:idx val="0"/>
          <c:order val="0"/>
          <c:tx>
            <c:strRef>
              <c:f>Pivots!$E$3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E4C-45B2-9F58-CF778EA4F50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E4C-45B2-9F58-CF778EA4F50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E4C-45B2-9F58-CF778EA4F50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E4C-45B2-9F58-CF778EA4F50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E4C-45B2-9F58-CF778EA4F50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E4C-45B2-9F58-CF778EA4F50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E4C-45B2-9F58-CF778EA4F506}"/>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2E4C-45B2-9F58-CF778EA4F506}"/>
              </c:ext>
            </c:extLst>
          </c:dPt>
          <c:cat>
            <c:strRef>
              <c:f>Pivots!$D$4:$D$12</c:f>
              <c:strCache>
                <c:ptCount val="8"/>
                <c:pt idx="0">
                  <c:v>Others</c:v>
                </c:pt>
                <c:pt idx="1">
                  <c:v>Alt Rock</c:v>
                </c:pt>
                <c:pt idx="2">
                  <c:v>EDM/Pop</c:v>
                </c:pt>
                <c:pt idx="3">
                  <c:v>Hip-Hop</c:v>
                </c:pt>
                <c:pt idx="4">
                  <c:v>Indie Pop</c:v>
                </c:pt>
                <c:pt idx="5">
                  <c:v>Pop</c:v>
                </c:pt>
                <c:pt idx="6">
                  <c:v>Pop Rock</c:v>
                </c:pt>
                <c:pt idx="7">
                  <c:v>Synth-Pop</c:v>
                </c:pt>
              </c:strCache>
            </c:strRef>
          </c:cat>
          <c:val>
            <c:numRef>
              <c:f>Pivots!$E$4:$E$12</c:f>
              <c:numCache>
                <c:formatCode>General</c:formatCode>
                <c:ptCount val="8"/>
                <c:pt idx="0">
                  <c:v>104.25000000000001</c:v>
                </c:pt>
                <c:pt idx="1">
                  <c:v>15.93</c:v>
                </c:pt>
                <c:pt idx="2">
                  <c:v>11.55</c:v>
                </c:pt>
                <c:pt idx="3">
                  <c:v>17.93</c:v>
                </c:pt>
                <c:pt idx="4">
                  <c:v>29.489999999999995</c:v>
                </c:pt>
                <c:pt idx="5">
                  <c:v>43.97</c:v>
                </c:pt>
                <c:pt idx="6">
                  <c:v>12.8</c:v>
                </c:pt>
                <c:pt idx="7">
                  <c:v>16.540000000000003</c:v>
                </c:pt>
              </c:numCache>
            </c:numRef>
          </c:val>
          <c:extLst>
            <c:ext xmlns:c16="http://schemas.microsoft.com/office/drawing/2014/chart" uri="{C3380CC4-5D6E-409C-BE32-E72D297353CC}">
              <c16:uniqueId val="{0000004E-3943-4EE8-9AF6-B32432C0DB1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[spotify_alltime_songs.csv.xlsx]Pivots!PivotTable1</c:name>
    <c:fmtId val="4"/>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Release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303715318743133"/>
          <c:y val="0.19347641395199666"/>
          <c:w val="0.77641296585104502"/>
          <c:h val="0.72965486546101932"/>
        </c:manualLayout>
      </c:layout>
      <c:barChart>
        <c:barDir val="bar"/>
        <c:grouping val="clustered"/>
        <c:varyColors val="0"/>
        <c:ser>
          <c:idx val="0"/>
          <c:order val="0"/>
          <c:tx>
            <c:strRef>
              <c:f>Pivots!$G$16</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Pivots!$F$17:$F$30</c:f>
              <c:strCache>
                <c:ptCount val="13"/>
                <c:pt idx="0">
                  <c:v>Others</c:v>
                </c:pt>
                <c:pt idx="1">
                  <c:v>2013</c:v>
                </c:pt>
                <c:pt idx="2">
                  <c:v>2014</c:v>
                </c:pt>
                <c:pt idx="3">
                  <c:v>2015</c:v>
                </c:pt>
                <c:pt idx="4">
                  <c:v>2016</c:v>
                </c:pt>
                <c:pt idx="5">
                  <c:v>2017</c:v>
                </c:pt>
                <c:pt idx="6">
                  <c:v>2018</c:v>
                </c:pt>
                <c:pt idx="7">
                  <c:v>2019</c:v>
                </c:pt>
                <c:pt idx="8">
                  <c:v>2020</c:v>
                </c:pt>
                <c:pt idx="9">
                  <c:v>2021</c:v>
                </c:pt>
                <c:pt idx="10">
                  <c:v>2022</c:v>
                </c:pt>
                <c:pt idx="11">
                  <c:v>2023</c:v>
                </c:pt>
                <c:pt idx="12">
                  <c:v>2024</c:v>
                </c:pt>
              </c:strCache>
            </c:strRef>
          </c:cat>
          <c:val>
            <c:numRef>
              <c:f>Pivots!$G$17:$G$30</c:f>
              <c:numCache>
                <c:formatCode>General</c:formatCode>
                <c:ptCount val="13"/>
                <c:pt idx="0">
                  <c:v>10</c:v>
                </c:pt>
                <c:pt idx="1">
                  <c:v>5</c:v>
                </c:pt>
                <c:pt idx="2">
                  <c:v>5</c:v>
                </c:pt>
                <c:pt idx="3">
                  <c:v>2</c:v>
                </c:pt>
                <c:pt idx="4">
                  <c:v>8</c:v>
                </c:pt>
                <c:pt idx="5">
                  <c:v>10</c:v>
                </c:pt>
                <c:pt idx="6">
                  <c:v>10</c:v>
                </c:pt>
                <c:pt idx="7">
                  <c:v>13</c:v>
                </c:pt>
                <c:pt idx="8">
                  <c:v>10</c:v>
                </c:pt>
                <c:pt idx="9">
                  <c:v>10</c:v>
                </c:pt>
                <c:pt idx="10">
                  <c:v>6</c:v>
                </c:pt>
                <c:pt idx="11">
                  <c:v>4</c:v>
                </c:pt>
                <c:pt idx="12">
                  <c:v>7</c:v>
                </c:pt>
              </c:numCache>
            </c:numRef>
          </c:val>
          <c:extLst>
            <c:ext xmlns:c16="http://schemas.microsoft.com/office/drawing/2014/chart" uri="{C3380CC4-5D6E-409C-BE32-E72D297353CC}">
              <c16:uniqueId val="{00000000-E131-4163-BC65-D4E0A38C35A0}"/>
            </c:ext>
          </c:extLst>
        </c:ser>
        <c:dLbls>
          <c:dLblPos val="inEnd"/>
          <c:showLegendKey val="0"/>
          <c:showVal val="1"/>
          <c:showCatName val="0"/>
          <c:showSerName val="0"/>
          <c:showPercent val="0"/>
          <c:showBubbleSize val="0"/>
        </c:dLbls>
        <c:gapWidth val="182"/>
        <c:axId val="79788383"/>
        <c:axId val="79785503"/>
      </c:barChart>
      <c:catAx>
        <c:axId val="797883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9785503"/>
        <c:crosses val="autoZero"/>
        <c:auto val="1"/>
        <c:lblAlgn val="ctr"/>
        <c:lblOffset val="100"/>
        <c:noMultiLvlLbl val="0"/>
      </c:catAx>
      <c:valAx>
        <c:axId val="797855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9788383"/>
        <c:crosses val="autoZero"/>
        <c:crossBetween val="between"/>
      </c:valAx>
      <c:spPr>
        <a:solidFill>
          <a:schemeClr val="lt1"/>
        </a:solidFill>
        <a:ln w="19050" cap="flat" cmpd="sng" algn="ctr">
          <a:solidFill>
            <a:schemeClr val="dk1"/>
          </a:solidFill>
          <a:prstDash val="solid"/>
          <a:miter lim="800000"/>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[spotify_alltime_songs.csv.xlsx]Pivots!PivotTable8</c:name>
    <c:fmtId val="2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Pivots!$B$20</c:f>
              <c:strCache>
                <c:ptCount val="1"/>
                <c:pt idx="0">
                  <c:v>Average of danceability</c:v>
                </c:pt>
              </c:strCache>
            </c:strRef>
          </c:tx>
          <c:spPr>
            <a:solidFill>
              <a:schemeClr val="accent1"/>
            </a:solidFill>
            <a:ln>
              <a:noFill/>
            </a:ln>
            <a:effectLst/>
          </c:spPr>
          <c:invertIfNegative val="0"/>
          <c:cat>
            <c:strRef>
              <c:f>Pivots!$A$21:$A$60</c:f>
              <c:strCache>
                <c:ptCount val="39"/>
                <c:pt idx="0">
                  <c:v>Acoustic Pop</c:v>
                </c:pt>
                <c:pt idx="1">
                  <c:v>Afrobeats/Pop</c:v>
                </c:pt>
                <c:pt idx="2">
                  <c:v>Alt Rock</c:v>
                </c:pt>
                <c:pt idx="3">
                  <c:v>Art Pop</c:v>
                </c:pt>
                <c:pt idx="4">
                  <c:v>Art Rock</c:v>
                </c:pt>
                <c:pt idx="5">
                  <c:v>Blues Rock</c:v>
                </c:pt>
                <c:pt idx="6">
                  <c:v>Country/Pop</c:v>
                </c:pt>
                <c:pt idx="7">
                  <c:v>EDM/Pop</c:v>
                </c:pt>
                <c:pt idx="8">
                  <c:v>Electropop</c:v>
                </c:pt>
                <c:pt idx="9">
                  <c:v>Emo Rap</c:v>
                </c:pt>
                <c:pt idx="10">
                  <c:v>Folk Pop</c:v>
                </c:pt>
                <c:pt idx="11">
                  <c:v>Funk/Pop</c:v>
                </c:pt>
                <c:pt idx="12">
                  <c:v>Grunge</c:v>
                </c:pt>
                <c:pt idx="13">
                  <c:v>Hip-Hop</c:v>
                </c:pt>
                <c:pt idx="14">
                  <c:v>Hip-Hop/Pop</c:v>
                </c:pt>
                <c:pt idx="15">
                  <c:v>Holiday Pop</c:v>
                </c:pt>
                <c:pt idx="16">
                  <c:v>Indie Folk</c:v>
                </c:pt>
                <c:pt idx="17">
                  <c:v>Indie Pop</c:v>
                </c:pt>
                <c:pt idx="18">
                  <c:v>Indie Rock</c:v>
                </c:pt>
                <c:pt idx="19">
                  <c:v>K-Pop/Pop</c:v>
                </c:pt>
                <c:pt idx="20">
                  <c:v>Latin Pop</c:v>
                </c:pt>
                <c:pt idx="21">
                  <c:v>Nu-Disco</c:v>
                </c:pt>
                <c:pt idx="22">
                  <c:v>Pop</c:v>
                </c:pt>
                <c:pt idx="23">
                  <c:v>Pop Punk</c:v>
                </c:pt>
                <c:pt idx="24">
                  <c:v>Pop Rap</c:v>
                </c:pt>
                <c:pt idx="25">
                  <c:v>Pop Rock</c:v>
                </c:pt>
                <c:pt idx="26">
                  <c:v>Pop/Country</c:v>
                </c:pt>
                <c:pt idx="27">
                  <c:v>Pop/Dancehall</c:v>
                </c:pt>
                <c:pt idx="28">
                  <c:v>Pop/Folk</c:v>
                </c:pt>
                <c:pt idx="29">
                  <c:v>Pop/Funk</c:v>
                </c:pt>
                <c:pt idx="30">
                  <c:v>Pop/R&amp;B</c:v>
                </c:pt>
                <c:pt idx="31">
                  <c:v>Pop/Soul</c:v>
                </c:pt>
                <c:pt idx="32">
                  <c:v>R&amp;B</c:v>
                </c:pt>
                <c:pt idx="33">
                  <c:v>R&amp;B/Pop</c:v>
                </c:pt>
                <c:pt idx="34">
                  <c:v>R&amp;B/Soul</c:v>
                </c:pt>
                <c:pt idx="35">
                  <c:v>Reggaeton</c:v>
                </c:pt>
                <c:pt idx="36">
                  <c:v>Soul/R&amp;B</c:v>
                </c:pt>
                <c:pt idx="37">
                  <c:v>Synth-Pop</c:v>
                </c:pt>
                <c:pt idx="38">
                  <c:v>Trap Pop</c:v>
                </c:pt>
              </c:strCache>
            </c:strRef>
          </c:cat>
          <c:val>
            <c:numRef>
              <c:f>Pivots!$B$21:$B$60</c:f>
              <c:numCache>
                <c:formatCode>0.0</c:formatCode>
                <c:ptCount val="39"/>
                <c:pt idx="0">
                  <c:v>0.62</c:v>
                </c:pt>
                <c:pt idx="1">
                  <c:v>0.79500000000000004</c:v>
                </c:pt>
                <c:pt idx="2">
                  <c:v>0.40714285714285714</c:v>
                </c:pt>
                <c:pt idx="3">
                  <c:v>0.41</c:v>
                </c:pt>
                <c:pt idx="4">
                  <c:v>0.3</c:v>
                </c:pt>
                <c:pt idx="5">
                  <c:v>0.46</c:v>
                </c:pt>
                <c:pt idx="6">
                  <c:v>0.72</c:v>
                </c:pt>
                <c:pt idx="7">
                  <c:v>0.68500000000000005</c:v>
                </c:pt>
                <c:pt idx="8">
                  <c:v>0.7</c:v>
                </c:pt>
                <c:pt idx="9">
                  <c:v>0.51</c:v>
                </c:pt>
                <c:pt idx="10">
                  <c:v>0.6</c:v>
                </c:pt>
                <c:pt idx="11">
                  <c:v>0.84499999999999997</c:v>
                </c:pt>
                <c:pt idx="12">
                  <c:v>0.5</c:v>
                </c:pt>
                <c:pt idx="13">
                  <c:v>0.7014285714285714</c:v>
                </c:pt>
                <c:pt idx="14">
                  <c:v>0.64500000000000002</c:v>
                </c:pt>
                <c:pt idx="15">
                  <c:v>0.42</c:v>
                </c:pt>
                <c:pt idx="16">
                  <c:v>0.64</c:v>
                </c:pt>
                <c:pt idx="17">
                  <c:v>0.52333333333333332</c:v>
                </c:pt>
                <c:pt idx="18">
                  <c:v>0.55499999999999994</c:v>
                </c:pt>
                <c:pt idx="19">
                  <c:v>0.86</c:v>
                </c:pt>
                <c:pt idx="20">
                  <c:v>0.755</c:v>
                </c:pt>
                <c:pt idx="21">
                  <c:v>0.7</c:v>
                </c:pt>
                <c:pt idx="22">
                  <c:v>0.66999999999999993</c:v>
                </c:pt>
                <c:pt idx="23">
                  <c:v>0.61333333333333329</c:v>
                </c:pt>
                <c:pt idx="24">
                  <c:v>0.69</c:v>
                </c:pt>
                <c:pt idx="25">
                  <c:v>0.54499999999999993</c:v>
                </c:pt>
                <c:pt idx="26">
                  <c:v>0.59</c:v>
                </c:pt>
                <c:pt idx="27">
                  <c:v>0.83</c:v>
                </c:pt>
                <c:pt idx="28">
                  <c:v>0.66</c:v>
                </c:pt>
                <c:pt idx="29">
                  <c:v>0.74</c:v>
                </c:pt>
                <c:pt idx="30">
                  <c:v>0.78</c:v>
                </c:pt>
                <c:pt idx="31">
                  <c:v>0.34</c:v>
                </c:pt>
                <c:pt idx="32">
                  <c:v>0.4</c:v>
                </c:pt>
                <c:pt idx="33">
                  <c:v>0.71</c:v>
                </c:pt>
                <c:pt idx="34">
                  <c:v>0.6</c:v>
                </c:pt>
                <c:pt idx="35">
                  <c:v>0.69</c:v>
                </c:pt>
                <c:pt idx="36">
                  <c:v>0.78</c:v>
                </c:pt>
                <c:pt idx="37">
                  <c:v>0.60666666666666669</c:v>
                </c:pt>
                <c:pt idx="38">
                  <c:v>0.64</c:v>
                </c:pt>
              </c:numCache>
            </c:numRef>
          </c:val>
          <c:extLst>
            <c:ext xmlns:c16="http://schemas.microsoft.com/office/drawing/2014/chart" uri="{C3380CC4-5D6E-409C-BE32-E72D297353CC}">
              <c16:uniqueId val="{00000000-20AA-4946-8A87-03BFADA91A34}"/>
            </c:ext>
          </c:extLst>
        </c:ser>
        <c:ser>
          <c:idx val="1"/>
          <c:order val="1"/>
          <c:tx>
            <c:strRef>
              <c:f>Pivots!$C$20</c:f>
              <c:strCache>
                <c:ptCount val="1"/>
                <c:pt idx="0">
                  <c:v>Average of energy</c:v>
                </c:pt>
              </c:strCache>
            </c:strRef>
          </c:tx>
          <c:spPr>
            <a:solidFill>
              <a:schemeClr val="accent2"/>
            </a:solidFill>
            <a:ln>
              <a:noFill/>
            </a:ln>
            <a:effectLst/>
          </c:spPr>
          <c:invertIfNegative val="0"/>
          <c:cat>
            <c:strRef>
              <c:f>Pivots!$A$21:$A$60</c:f>
              <c:strCache>
                <c:ptCount val="39"/>
                <c:pt idx="0">
                  <c:v>Acoustic Pop</c:v>
                </c:pt>
                <c:pt idx="1">
                  <c:v>Afrobeats/Pop</c:v>
                </c:pt>
                <c:pt idx="2">
                  <c:v>Alt Rock</c:v>
                </c:pt>
                <c:pt idx="3">
                  <c:v>Art Pop</c:v>
                </c:pt>
                <c:pt idx="4">
                  <c:v>Art Rock</c:v>
                </c:pt>
                <c:pt idx="5">
                  <c:v>Blues Rock</c:v>
                </c:pt>
                <c:pt idx="6">
                  <c:v>Country/Pop</c:v>
                </c:pt>
                <c:pt idx="7">
                  <c:v>EDM/Pop</c:v>
                </c:pt>
                <c:pt idx="8">
                  <c:v>Electropop</c:v>
                </c:pt>
                <c:pt idx="9">
                  <c:v>Emo Rap</c:v>
                </c:pt>
                <c:pt idx="10">
                  <c:v>Folk Pop</c:v>
                </c:pt>
                <c:pt idx="11">
                  <c:v>Funk/Pop</c:v>
                </c:pt>
                <c:pt idx="12">
                  <c:v>Grunge</c:v>
                </c:pt>
                <c:pt idx="13">
                  <c:v>Hip-Hop</c:v>
                </c:pt>
                <c:pt idx="14">
                  <c:v>Hip-Hop/Pop</c:v>
                </c:pt>
                <c:pt idx="15">
                  <c:v>Holiday Pop</c:v>
                </c:pt>
                <c:pt idx="16">
                  <c:v>Indie Folk</c:v>
                </c:pt>
                <c:pt idx="17">
                  <c:v>Indie Pop</c:v>
                </c:pt>
                <c:pt idx="18">
                  <c:v>Indie Rock</c:v>
                </c:pt>
                <c:pt idx="19">
                  <c:v>K-Pop/Pop</c:v>
                </c:pt>
                <c:pt idx="20">
                  <c:v>Latin Pop</c:v>
                </c:pt>
                <c:pt idx="21">
                  <c:v>Nu-Disco</c:v>
                </c:pt>
                <c:pt idx="22">
                  <c:v>Pop</c:v>
                </c:pt>
                <c:pt idx="23">
                  <c:v>Pop Punk</c:v>
                </c:pt>
                <c:pt idx="24">
                  <c:v>Pop Rap</c:v>
                </c:pt>
                <c:pt idx="25">
                  <c:v>Pop Rock</c:v>
                </c:pt>
                <c:pt idx="26">
                  <c:v>Pop/Country</c:v>
                </c:pt>
                <c:pt idx="27">
                  <c:v>Pop/Dancehall</c:v>
                </c:pt>
                <c:pt idx="28">
                  <c:v>Pop/Folk</c:v>
                </c:pt>
                <c:pt idx="29">
                  <c:v>Pop/Funk</c:v>
                </c:pt>
                <c:pt idx="30">
                  <c:v>Pop/R&amp;B</c:v>
                </c:pt>
                <c:pt idx="31">
                  <c:v>Pop/Soul</c:v>
                </c:pt>
                <c:pt idx="32">
                  <c:v>R&amp;B</c:v>
                </c:pt>
                <c:pt idx="33">
                  <c:v>R&amp;B/Pop</c:v>
                </c:pt>
                <c:pt idx="34">
                  <c:v>R&amp;B/Soul</c:v>
                </c:pt>
                <c:pt idx="35">
                  <c:v>Reggaeton</c:v>
                </c:pt>
                <c:pt idx="36">
                  <c:v>Soul/R&amp;B</c:v>
                </c:pt>
                <c:pt idx="37">
                  <c:v>Synth-Pop</c:v>
                </c:pt>
                <c:pt idx="38">
                  <c:v>Trap Pop</c:v>
                </c:pt>
              </c:strCache>
            </c:strRef>
          </c:cat>
          <c:val>
            <c:numRef>
              <c:f>Pivots!$C$21:$C$60</c:f>
              <c:numCache>
                <c:formatCode>0.0</c:formatCode>
                <c:ptCount val="39"/>
                <c:pt idx="0">
                  <c:v>0.38</c:v>
                </c:pt>
                <c:pt idx="1">
                  <c:v>0.66999999999999993</c:v>
                </c:pt>
                <c:pt idx="2">
                  <c:v>0.71285714285714286</c:v>
                </c:pt>
                <c:pt idx="3">
                  <c:v>0.68</c:v>
                </c:pt>
                <c:pt idx="4">
                  <c:v>0.53</c:v>
                </c:pt>
                <c:pt idx="5">
                  <c:v>0.48</c:v>
                </c:pt>
                <c:pt idx="6">
                  <c:v>0.65</c:v>
                </c:pt>
                <c:pt idx="7">
                  <c:v>0.77</c:v>
                </c:pt>
                <c:pt idx="8">
                  <c:v>0.43</c:v>
                </c:pt>
                <c:pt idx="9">
                  <c:v>0.49</c:v>
                </c:pt>
                <c:pt idx="10">
                  <c:v>0.56000000000000005</c:v>
                </c:pt>
                <c:pt idx="11">
                  <c:v>0.84499999999999997</c:v>
                </c:pt>
                <c:pt idx="12">
                  <c:v>0.9</c:v>
                </c:pt>
                <c:pt idx="13">
                  <c:v>0.65285714285714291</c:v>
                </c:pt>
                <c:pt idx="14">
                  <c:v>0.43</c:v>
                </c:pt>
                <c:pt idx="15">
                  <c:v>0.66</c:v>
                </c:pt>
                <c:pt idx="16">
                  <c:v>0.51500000000000001</c:v>
                </c:pt>
                <c:pt idx="17">
                  <c:v>0.54499999999999993</c:v>
                </c:pt>
                <c:pt idx="18">
                  <c:v>0.64</c:v>
                </c:pt>
                <c:pt idx="19">
                  <c:v>0.79</c:v>
                </c:pt>
                <c:pt idx="20">
                  <c:v>0.65999999999999992</c:v>
                </c:pt>
                <c:pt idx="21">
                  <c:v>0.82</c:v>
                </c:pt>
                <c:pt idx="22">
                  <c:v>0.60352941176470598</c:v>
                </c:pt>
                <c:pt idx="23">
                  <c:v>0.83333333333333337</c:v>
                </c:pt>
                <c:pt idx="24">
                  <c:v>0.55000000000000004</c:v>
                </c:pt>
                <c:pt idx="25">
                  <c:v>0.67166666666666675</c:v>
                </c:pt>
                <c:pt idx="26">
                  <c:v>0.55000000000000004</c:v>
                </c:pt>
                <c:pt idx="27">
                  <c:v>0.65</c:v>
                </c:pt>
                <c:pt idx="28">
                  <c:v>0.43</c:v>
                </c:pt>
                <c:pt idx="29">
                  <c:v>0.77</c:v>
                </c:pt>
                <c:pt idx="30">
                  <c:v>0.66</c:v>
                </c:pt>
                <c:pt idx="31">
                  <c:v>0.26</c:v>
                </c:pt>
                <c:pt idx="32">
                  <c:v>0.55000000000000004</c:v>
                </c:pt>
                <c:pt idx="33">
                  <c:v>0.59000000000000008</c:v>
                </c:pt>
                <c:pt idx="34">
                  <c:v>0.55000000000000004</c:v>
                </c:pt>
                <c:pt idx="35">
                  <c:v>0.81</c:v>
                </c:pt>
                <c:pt idx="36">
                  <c:v>0.44</c:v>
                </c:pt>
                <c:pt idx="37">
                  <c:v>0.79</c:v>
                </c:pt>
                <c:pt idx="38">
                  <c:v>0.61</c:v>
                </c:pt>
              </c:numCache>
            </c:numRef>
          </c:val>
          <c:extLst>
            <c:ext xmlns:c16="http://schemas.microsoft.com/office/drawing/2014/chart" uri="{C3380CC4-5D6E-409C-BE32-E72D297353CC}">
              <c16:uniqueId val="{00000001-20AA-4946-8A87-03BFADA91A34}"/>
            </c:ext>
          </c:extLst>
        </c:ser>
        <c:ser>
          <c:idx val="2"/>
          <c:order val="2"/>
          <c:tx>
            <c:strRef>
              <c:f>Pivots!$D$20</c:f>
              <c:strCache>
                <c:ptCount val="1"/>
                <c:pt idx="0">
                  <c:v>Average of valence</c:v>
                </c:pt>
              </c:strCache>
            </c:strRef>
          </c:tx>
          <c:spPr>
            <a:solidFill>
              <a:schemeClr val="accent3"/>
            </a:solidFill>
            <a:ln>
              <a:noFill/>
            </a:ln>
            <a:effectLst/>
          </c:spPr>
          <c:invertIfNegative val="0"/>
          <c:cat>
            <c:strRef>
              <c:f>Pivots!$A$21:$A$60</c:f>
              <c:strCache>
                <c:ptCount val="39"/>
                <c:pt idx="0">
                  <c:v>Acoustic Pop</c:v>
                </c:pt>
                <c:pt idx="1">
                  <c:v>Afrobeats/Pop</c:v>
                </c:pt>
                <c:pt idx="2">
                  <c:v>Alt Rock</c:v>
                </c:pt>
                <c:pt idx="3">
                  <c:v>Art Pop</c:v>
                </c:pt>
                <c:pt idx="4">
                  <c:v>Art Rock</c:v>
                </c:pt>
                <c:pt idx="5">
                  <c:v>Blues Rock</c:v>
                </c:pt>
                <c:pt idx="6">
                  <c:v>Country/Pop</c:v>
                </c:pt>
                <c:pt idx="7">
                  <c:v>EDM/Pop</c:v>
                </c:pt>
                <c:pt idx="8">
                  <c:v>Electropop</c:v>
                </c:pt>
                <c:pt idx="9">
                  <c:v>Emo Rap</c:v>
                </c:pt>
                <c:pt idx="10">
                  <c:v>Folk Pop</c:v>
                </c:pt>
                <c:pt idx="11">
                  <c:v>Funk/Pop</c:v>
                </c:pt>
                <c:pt idx="12">
                  <c:v>Grunge</c:v>
                </c:pt>
                <c:pt idx="13">
                  <c:v>Hip-Hop</c:v>
                </c:pt>
                <c:pt idx="14">
                  <c:v>Hip-Hop/Pop</c:v>
                </c:pt>
                <c:pt idx="15">
                  <c:v>Holiday Pop</c:v>
                </c:pt>
                <c:pt idx="16">
                  <c:v>Indie Folk</c:v>
                </c:pt>
                <c:pt idx="17">
                  <c:v>Indie Pop</c:v>
                </c:pt>
                <c:pt idx="18">
                  <c:v>Indie Rock</c:v>
                </c:pt>
                <c:pt idx="19">
                  <c:v>K-Pop/Pop</c:v>
                </c:pt>
                <c:pt idx="20">
                  <c:v>Latin Pop</c:v>
                </c:pt>
                <c:pt idx="21">
                  <c:v>Nu-Disco</c:v>
                </c:pt>
                <c:pt idx="22">
                  <c:v>Pop</c:v>
                </c:pt>
                <c:pt idx="23">
                  <c:v>Pop Punk</c:v>
                </c:pt>
                <c:pt idx="24">
                  <c:v>Pop Rap</c:v>
                </c:pt>
                <c:pt idx="25">
                  <c:v>Pop Rock</c:v>
                </c:pt>
                <c:pt idx="26">
                  <c:v>Pop/Country</c:v>
                </c:pt>
                <c:pt idx="27">
                  <c:v>Pop/Dancehall</c:v>
                </c:pt>
                <c:pt idx="28">
                  <c:v>Pop/Folk</c:v>
                </c:pt>
                <c:pt idx="29">
                  <c:v>Pop/Funk</c:v>
                </c:pt>
                <c:pt idx="30">
                  <c:v>Pop/R&amp;B</c:v>
                </c:pt>
                <c:pt idx="31">
                  <c:v>Pop/Soul</c:v>
                </c:pt>
                <c:pt idx="32">
                  <c:v>R&amp;B</c:v>
                </c:pt>
                <c:pt idx="33">
                  <c:v>R&amp;B/Pop</c:v>
                </c:pt>
                <c:pt idx="34">
                  <c:v>R&amp;B/Soul</c:v>
                </c:pt>
                <c:pt idx="35">
                  <c:v>Reggaeton</c:v>
                </c:pt>
                <c:pt idx="36">
                  <c:v>Soul/R&amp;B</c:v>
                </c:pt>
                <c:pt idx="37">
                  <c:v>Synth-Pop</c:v>
                </c:pt>
                <c:pt idx="38">
                  <c:v>Trap Pop</c:v>
                </c:pt>
              </c:strCache>
            </c:strRef>
          </c:cat>
          <c:val>
            <c:numRef>
              <c:f>Pivots!$D$21:$D$60</c:f>
              <c:numCache>
                <c:formatCode>0.0</c:formatCode>
                <c:ptCount val="39"/>
                <c:pt idx="0">
                  <c:v>0.55000000000000004</c:v>
                </c:pt>
                <c:pt idx="1">
                  <c:v>0.73</c:v>
                </c:pt>
                <c:pt idx="2">
                  <c:v>0.29714285714285715</c:v>
                </c:pt>
                <c:pt idx="3">
                  <c:v>0.25</c:v>
                </c:pt>
                <c:pt idx="4">
                  <c:v>0.1</c:v>
                </c:pt>
                <c:pt idx="5">
                  <c:v>0.28000000000000003</c:v>
                </c:pt>
                <c:pt idx="6">
                  <c:v>0.72</c:v>
                </c:pt>
                <c:pt idx="7">
                  <c:v>0.74499999999999988</c:v>
                </c:pt>
                <c:pt idx="8">
                  <c:v>0.56000000000000005</c:v>
                </c:pt>
                <c:pt idx="9">
                  <c:v>0.22</c:v>
                </c:pt>
                <c:pt idx="10">
                  <c:v>0.52</c:v>
                </c:pt>
                <c:pt idx="11">
                  <c:v>0.78</c:v>
                </c:pt>
                <c:pt idx="12">
                  <c:v>0.44</c:v>
                </c:pt>
                <c:pt idx="13">
                  <c:v>0.39571428571428563</c:v>
                </c:pt>
                <c:pt idx="14">
                  <c:v>0.65999999999999992</c:v>
                </c:pt>
                <c:pt idx="15">
                  <c:v>0.78</c:v>
                </c:pt>
                <c:pt idx="16">
                  <c:v>0.75</c:v>
                </c:pt>
                <c:pt idx="17">
                  <c:v>0.50416666666666654</c:v>
                </c:pt>
                <c:pt idx="18">
                  <c:v>0.47</c:v>
                </c:pt>
                <c:pt idx="19">
                  <c:v>0.88</c:v>
                </c:pt>
                <c:pt idx="20">
                  <c:v>0.67999999999999994</c:v>
                </c:pt>
                <c:pt idx="21">
                  <c:v>0.91</c:v>
                </c:pt>
                <c:pt idx="22">
                  <c:v>0.60882352941176465</c:v>
                </c:pt>
                <c:pt idx="23">
                  <c:v>0.64333333333333342</c:v>
                </c:pt>
                <c:pt idx="24">
                  <c:v>0.72</c:v>
                </c:pt>
                <c:pt idx="25">
                  <c:v>0.5083333333333333</c:v>
                </c:pt>
                <c:pt idx="26">
                  <c:v>0.37</c:v>
                </c:pt>
                <c:pt idx="27">
                  <c:v>0.93</c:v>
                </c:pt>
                <c:pt idx="28">
                  <c:v>0.41</c:v>
                </c:pt>
                <c:pt idx="29">
                  <c:v>0.74</c:v>
                </c:pt>
                <c:pt idx="30">
                  <c:v>0.8</c:v>
                </c:pt>
                <c:pt idx="31">
                  <c:v>0.17</c:v>
                </c:pt>
                <c:pt idx="32">
                  <c:v>0.32</c:v>
                </c:pt>
                <c:pt idx="33">
                  <c:v>0.69</c:v>
                </c:pt>
                <c:pt idx="34">
                  <c:v>0.64</c:v>
                </c:pt>
                <c:pt idx="35">
                  <c:v>0.81</c:v>
                </c:pt>
                <c:pt idx="36">
                  <c:v>0.46</c:v>
                </c:pt>
                <c:pt idx="37">
                  <c:v>0.54333333333333333</c:v>
                </c:pt>
                <c:pt idx="38">
                  <c:v>0.49</c:v>
                </c:pt>
              </c:numCache>
            </c:numRef>
          </c:val>
          <c:extLst>
            <c:ext xmlns:c16="http://schemas.microsoft.com/office/drawing/2014/chart" uri="{C3380CC4-5D6E-409C-BE32-E72D297353CC}">
              <c16:uniqueId val="{00000002-20AA-4946-8A87-03BFADA91A34}"/>
            </c:ext>
          </c:extLst>
        </c:ser>
        <c:dLbls>
          <c:showLegendKey val="0"/>
          <c:showVal val="0"/>
          <c:showCatName val="0"/>
          <c:showSerName val="0"/>
          <c:showPercent val="0"/>
          <c:showBubbleSize val="0"/>
        </c:dLbls>
        <c:gapWidth val="219"/>
        <c:overlap val="100"/>
        <c:axId val="2117670975"/>
        <c:axId val="2117671455"/>
      </c:barChart>
      <c:catAx>
        <c:axId val="21176709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117671455"/>
        <c:crosses val="autoZero"/>
        <c:auto val="1"/>
        <c:lblAlgn val="ctr"/>
        <c:lblOffset val="100"/>
        <c:noMultiLvlLbl val="0"/>
      </c:catAx>
      <c:valAx>
        <c:axId val="2117671455"/>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117670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7620</xdr:colOff>
      <xdr:row>3</xdr:row>
      <xdr:rowOff>9407</xdr:rowOff>
    </xdr:from>
    <xdr:to>
      <xdr:col>14</xdr:col>
      <xdr:colOff>17388</xdr:colOff>
      <xdr:row>19</xdr:row>
      <xdr:rowOff>0</xdr:rowOff>
    </xdr:to>
    <xdr:graphicFrame macro="">
      <xdr:nvGraphicFramePr>
        <xdr:cNvPr id="3" name="Chart 2">
          <a:extLst>
            <a:ext uri="{FF2B5EF4-FFF2-40B4-BE49-F238E27FC236}">
              <a16:creationId xmlns:a16="http://schemas.microsoft.com/office/drawing/2014/main" id="{C59515E1-13BA-4C90-B573-1D1107D06D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3</xdr:row>
      <xdr:rowOff>1</xdr:rowOff>
    </xdr:from>
    <xdr:to>
      <xdr:col>3</xdr:col>
      <xdr:colOff>0</xdr:colOff>
      <xdr:row>12</xdr:row>
      <xdr:rowOff>13335</xdr:rowOff>
    </xdr:to>
    <mc:AlternateContent xmlns:mc="http://schemas.openxmlformats.org/markup-compatibility/2006" xmlns:a14="http://schemas.microsoft.com/office/drawing/2010/main">
      <mc:Choice Requires="a14">
        <xdr:graphicFrame macro="">
          <xdr:nvGraphicFramePr>
            <xdr:cNvPr id="4" name="artist">
              <a:extLst>
                <a:ext uri="{FF2B5EF4-FFF2-40B4-BE49-F238E27FC236}">
                  <a16:creationId xmlns:a16="http://schemas.microsoft.com/office/drawing/2014/main" id="{C7327375-184C-99BC-BB0A-88E138C2566E}"/>
                </a:ext>
              </a:extLst>
            </xdr:cNvPr>
            <xdr:cNvGraphicFramePr/>
          </xdr:nvGraphicFramePr>
          <xdr:xfrm>
            <a:off x="0" y="0"/>
            <a:ext cx="0" cy="0"/>
          </xdr:xfrm>
          <a:graphic>
            <a:graphicData uri="http://schemas.microsoft.com/office/drawing/2010/slicer">
              <sle:slicer xmlns:sle="http://schemas.microsoft.com/office/drawing/2010/slicer" name="artist"/>
            </a:graphicData>
          </a:graphic>
        </xdr:graphicFrame>
      </mc:Choice>
      <mc:Fallback xmlns="">
        <xdr:sp macro="" textlink="">
          <xdr:nvSpPr>
            <xdr:cNvPr id="0" name=""/>
            <xdr:cNvSpPr>
              <a:spLocks noTextEdit="1"/>
            </xdr:cNvSpPr>
          </xdr:nvSpPr>
          <xdr:spPr>
            <a:xfrm>
              <a:off x="0" y="548641"/>
              <a:ext cx="1219200" cy="1645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9525</xdr:rowOff>
    </xdr:from>
    <xdr:to>
      <xdr:col>2</xdr:col>
      <xdr:colOff>726729</xdr:colOff>
      <xdr:row>20</xdr:row>
      <xdr:rowOff>171450</xdr:rowOff>
    </xdr:to>
    <mc:AlternateContent xmlns:mc="http://schemas.openxmlformats.org/markup-compatibility/2006" xmlns:a14="http://schemas.microsoft.com/office/drawing/2010/main">
      <mc:Choice Requires="a14">
        <xdr:graphicFrame macro="">
          <xdr:nvGraphicFramePr>
            <xdr:cNvPr id="5" name="primary_genre">
              <a:extLst>
                <a:ext uri="{FF2B5EF4-FFF2-40B4-BE49-F238E27FC236}">
                  <a16:creationId xmlns:a16="http://schemas.microsoft.com/office/drawing/2014/main" id="{64D651C4-5934-5ABB-593E-24A433434402}"/>
                </a:ext>
              </a:extLst>
            </xdr:cNvPr>
            <xdr:cNvGraphicFramePr/>
          </xdr:nvGraphicFramePr>
          <xdr:xfrm>
            <a:off x="0" y="0"/>
            <a:ext cx="0" cy="0"/>
          </xdr:xfrm>
          <a:graphic>
            <a:graphicData uri="http://schemas.microsoft.com/office/drawing/2010/slicer">
              <sle:slicer xmlns:sle="http://schemas.microsoft.com/office/drawing/2010/slicer" name="primary_genre"/>
            </a:graphicData>
          </a:graphic>
        </xdr:graphicFrame>
      </mc:Choice>
      <mc:Fallback xmlns="">
        <xdr:sp macro="" textlink="">
          <xdr:nvSpPr>
            <xdr:cNvPr id="0" name=""/>
            <xdr:cNvSpPr>
              <a:spLocks noTextEdit="1"/>
            </xdr:cNvSpPr>
          </xdr:nvSpPr>
          <xdr:spPr>
            <a:xfrm>
              <a:off x="0" y="2204085"/>
              <a:ext cx="1219200" cy="16363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0</xdr:rowOff>
    </xdr:from>
    <xdr:to>
      <xdr:col>2</xdr:col>
      <xdr:colOff>726729</xdr:colOff>
      <xdr:row>30</xdr:row>
      <xdr:rowOff>67370</xdr:rowOff>
    </xdr:to>
    <mc:AlternateContent xmlns:mc="http://schemas.openxmlformats.org/markup-compatibility/2006" xmlns:a14="http://schemas.microsoft.com/office/drawing/2010/main">
      <mc:Choice Requires="a14">
        <xdr:graphicFrame macro="">
          <xdr:nvGraphicFramePr>
            <xdr:cNvPr id="6" name="artist_country">
              <a:extLst>
                <a:ext uri="{FF2B5EF4-FFF2-40B4-BE49-F238E27FC236}">
                  <a16:creationId xmlns:a16="http://schemas.microsoft.com/office/drawing/2014/main" id="{5C73D8D0-018B-2318-2B4E-58B58137460E}"/>
                </a:ext>
              </a:extLst>
            </xdr:cNvPr>
            <xdr:cNvGraphicFramePr/>
          </xdr:nvGraphicFramePr>
          <xdr:xfrm>
            <a:off x="0" y="0"/>
            <a:ext cx="0" cy="0"/>
          </xdr:xfrm>
          <a:graphic>
            <a:graphicData uri="http://schemas.microsoft.com/office/drawing/2010/slicer">
              <sle:slicer xmlns:sle="http://schemas.microsoft.com/office/drawing/2010/slicer" name="artist_country"/>
            </a:graphicData>
          </a:graphic>
        </xdr:graphicFrame>
      </mc:Choice>
      <mc:Fallback xmlns="">
        <xdr:sp macro="" textlink="">
          <xdr:nvSpPr>
            <xdr:cNvPr id="0" name=""/>
            <xdr:cNvSpPr>
              <a:spLocks noTextEdit="1"/>
            </xdr:cNvSpPr>
          </xdr:nvSpPr>
          <xdr:spPr>
            <a:xfrm>
              <a:off x="0" y="3840480"/>
              <a:ext cx="1219200" cy="1645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30</xdr:row>
      <xdr:rowOff>37630</xdr:rowOff>
    </xdr:from>
    <xdr:to>
      <xdr:col>2</xdr:col>
      <xdr:colOff>726729</xdr:colOff>
      <xdr:row>35</xdr:row>
      <xdr:rowOff>9291</xdr:rowOff>
    </xdr:to>
    <mc:AlternateContent xmlns:mc="http://schemas.openxmlformats.org/markup-compatibility/2006" xmlns:a14="http://schemas.microsoft.com/office/drawing/2010/main">
      <mc:Choice Requires="a14">
        <xdr:graphicFrame macro="">
          <xdr:nvGraphicFramePr>
            <xdr:cNvPr id="7" name="explicit">
              <a:extLst>
                <a:ext uri="{FF2B5EF4-FFF2-40B4-BE49-F238E27FC236}">
                  <a16:creationId xmlns:a16="http://schemas.microsoft.com/office/drawing/2014/main" id="{DC77A80C-8B7C-3640-6C3A-7D33BD9C02EF}"/>
                </a:ext>
              </a:extLst>
            </xdr:cNvPr>
            <xdr:cNvGraphicFramePr/>
          </xdr:nvGraphicFramePr>
          <xdr:xfrm>
            <a:off x="0" y="0"/>
            <a:ext cx="0" cy="0"/>
          </xdr:xfrm>
          <a:graphic>
            <a:graphicData uri="http://schemas.microsoft.com/office/drawing/2010/slicer">
              <sle:slicer xmlns:sle="http://schemas.microsoft.com/office/drawing/2010/slicer" name="explicit"/>
            </a:graphicData>
          </a:graphic>
        </xdr:graphicFrame>
      </mc:Choice>
      <mc:Fallback xmlns="">
        <xdr:sp macro="" textlink="">
          <xdr:nvSpPr>
            <xdr:cNvPr id="0" name=""/>
            <xdr:cNvSpPr>
              <a:spLocks noTextEdit="1"/>
            </xdr:cNvSpPr>
          </xdr:nvSpPr>
          <xdr:spPr>
            <a:xfrm>
              <a:off x="0" y="5546064"/>
              <a:ext cx="1938584" cy="8992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2287</xdr:colOff>
      <xdr:row>3</xdr:row>
      <xdr:rowOff>7619</xdr:rowOff>
    </xdr:from>
    <xdr:to>
      <xdr:col>24</xdr:col>
      <xdr:colOff>1</xdr:colOff>
      <xdr:row>13</xdr:row>
      <xdr:rowOff>174624</xdr:rowOff>
    </xdr:to>
    <xdr:graphicFrame macro="">
      <xdr:nvGraphicFramePr>
        <xdr:cNvPr id="8" name="Chart 7">
          <a:extLst>
            <a:ext uri="{FF2B5EF4-FFF2-40B4-BE49-F238E27FC236}">
              <a16:creationId xmlns:a16="http://schemas.microsoft.com/office/drawing/2014/main" id="{B3F9E743-7D73-4CB9-85A5-F5FC482C62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733777</xdr:colOff>
      <xdr:row>18</xdr:row>
      <xdr:rowOff>177906</xdr:rowOff>
    </xdr:from>
    <xdr:to>
      <xdr:col>10</xdr:col>
      <xdr:colOff>9406</xdr:colOff>
      <xdr:row>35</xdr:row>
      <xdr:rowOff>6468</xdr:rowOff>
    </xdr:to>
    <xdr:graphicFrame macro="">
      <xdr:nvGraphicFramePr>
        <xdr:cNvPr id="9" name="Chart 8">
          <a:extLst>
            <a:ext uri="{FF2B5EF4-FFF2-40B4-BE49-F238E27FC236}">
              <a16:creationId xmlns:a16="http://schemas.microsoft.com/office/drawing/2014/main" id="{06AB962F-8E39-4EB1-9150-4F358ED43F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7620</xdr:colOff>
      <xdr:row>3</xdr:row>
      <xdr:rowOff>7620</xdr:rowOff>
    </xdr:from>
    <xdr:to>
      <xdr:col>20</xdr:col>
      <xdr:colOff>0</xdr:colOff>
      <xdr:row>18</xdr:row>
      <xdr:rowOff>175260</xdr:rowOff>
    </xdr:to>
    <xdr:graphicFrame macro="">
      <xdr:nvGraphicFramePr>
        <xdr:cNvPr id="10" name="Chart 9">
          <a:extLst>
            <a:ext uri="{FF2B5EF4-FFF2-40B4-BE49-F238E27FC236}">
              <a16:creationId xmlns:a16="http://schemas.microsoft.com/office/drawing/2014/main" id="{D3115D1A-356C-4DA4-9B6E-3BB0493C0C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260188</xdr:colOff>
      <xdr:row>0</xdr:row>
      <xdr:rowOff>30480</xdr:rowOff>
    </xdr:from>
    <xdr:to>
      <xdr:col>3</xdr:col>
      <xdr:colOff>145810</xdr:colOff>
      <xdr:row>2</xdr:row>
      <xdr:rowOff>167371</xdr:rowOff>
    </xdr:to>
    <xdr:pic>
      <xdr:nvPicPr>
        <xdr:cNvPr id="12" name="Picture 11">
          <a:extLst>
            <a:ext uri="{FF2B5EF4-FFF2-40B4-BE49-F238E27FC236}">
              <a16:creationId xmlns:a16="http://schemas.microsoft.com/office/drawing/2014/main" id="{1825F7D3-1EE5-0A8B-179A-79BE53D19CC1}"/>
            </a:ext>
          </a:extLst>
        </xdr:cNvPr>
        <xdr:cNvPicPr>
          <a:picLocks noChangeAspect="1"/>
        </xdr:cNvPicPr>
      </xdr:nvPicPr>
      <xdr:blipFill rotWithShape="1">
        <a:blip xmlns:r="http://schemas.openxmlformats.org/officeDocument/2006/relationships" r:embed="rId5"/>
        <a:srcRect t="30059" b="30680"/>
        <a:stretch>
          <a:fillRect/>
        </a:stretch>
      </xdr:blipFill>
      <xdr:spPr>
        <a:xfrm>
          <a:off x="260188" y="30480"/>
          <a:ext cx="1859441" cy="487680"/>
        </a:xfrm>
        <a:prstGeom prst="rect">
          <a:avLst/>
        </a:prstGeom>
      </xdr:spPr>
    </xdr:pic>
    <xdr:clientData/>
  </xdr:twoCellAnchor>
  <xdr:twoCellAnchor>
    <xdr:from>
      <xdr:col>13</xdr:col>
      <xdr:colOff>19050</xdr:colOff>
      <xdr:row>19</xdr:row>
      <xdr:rowOff>0</xdr:rowOff>
    </xdr:from>
    <xdr:to>
      <xdr:col>19</xdr:col>
      <xdr:colOff>609599</xdr:colOff>
      <xdr:row>35</xdr:row>
      <xdr:rowOff>0</xdr:rowOff>
    </xdr:to>
    <xdr:graphicFrame macro="">
      <xdr:nvGraphicFramePr>
        <xdr:cNvPr id="14" name="Chart 13">
          <a:extLst>
            <a:ext uri="{FF2B5EF4-FFF2-40B4-BE49-F238E27FC236}">
              <a16:creationId xmlns:a16="http://schemas.microsoft.com/office/drawing/2014/main" id="{8ADAE95E-6E64-4D21-AC1E-2A605EA013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1</xdr:colOff>
      <xdr:row>14</xdr:row>
      <xdr:rowOff>0</xdr:rowOff>
    </xdr:from>
    <xdr:to>
      <xdr:col>24</xdr:col>
      <xdr:colOff>1</xdr:colOff>
      <xdr:row>35</xdr:row>
      <xdr:rowOff>0</xdr:rowOff>
    </xdr:to>
    <xdr:graphicFrame macro="">
      <xdr:nvGraphicFramePr>
        <xdr:cNvPr id="2" name="Chart 1">
          <a:extLst>
            <a:ext uri="{FF2B5EF4-FFF2-40B4-BE49-F238E27FC236}">
              <a16:creationId xmlns:a16="http://schemas.microsoft.com/office/drawing/2014/main" id="{504B598E-6275-48B5-8BCF-1E9019EAF6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JAY SINGH" refreshedDate="46117.971520601852" createdVersion="8" refreshedVersion="8" minRefreshableVersion="3" recordCount="100" xr:uid="{FA5C6743-03BA-4758-829F-EBEC9F0EE936}">
  <cacheSource type="worksheet">
    <worksheetSource name="Table1[[artist]:[dataset_part]]"/>
  </cacheSource>
  <cacheFields count="13">
    <cacheField name="artist" numFmtId="0">
      <sharedItems count="80">
        <s v="The Weeknd"/>
        <s v="Ed Sheeran"/>
        <s v="Lewis Capaldi"/>
        <s v="Post Malone &amp; Swae Lee"/>
        <s v="Drake"/>
        <s v="The Kid LAROI &amp; Justin Bieber"/>
        <s v="Imagine Dragons"/>
        <s v="Post Malone ft. 21 Savage"/>
        <s v="Tones and I"/>
        <s v="Marshmello &amp; Bastille"/>
        <s v="Shawn Mendes &amp; Camila Cabello"/>
        <s v="Harry Styles"/>
        <s v="Dua Lipa"/>
        <s v="Glass Animals"/>
        <s v="Billie Eilish"/>
        <s v="Olivia Rodrigo"/>
        <s v="Post Malone"/>
        <s v="Maroon 5"/>
        <s v="Lady Gaga &amp; Bradley Cooper"/>
        <s v="BTS"/>
        <s v="Miley Cyrus"/>
        <s v="OneRepublic"/>
        <s v="Juice WRLD"/>
        <s v="The Chainsmokers ft. Halsey"/>
        <s v="Rema &amp; Selena Gomez"/>
        <s v="Taylor Swift"/>
        <s v="Billie Eilish &amp; Khalid"/>
        <s v="Mark Ronson ft. Bruno Mars"/>
        <s v="The Neighbourhood"/>
        <s v="Luis Fonsi ft. Daddy Yankee"/>
        <s v="Camila Cabello ft. Young Thug"/>
        <s v="Adele"/>
        <s v="Eminem"/>
        <s v="Linkin Park"/>
        <s v="Nirvana"/>
        <s v="Sabrina Carpenter"/>
        <s v="Kate Bush"/>
        <s v="Kendrick Lamar"/>
        <s v="Mariah Carey"/>
        <s v="The Weeknd ft. Daft Punk"/>
        <s v="Travis Scott"/>
        <s v="Ariana Grande"/>
        <s v="Lady Gaga &amp; Bruno Mars"/>
        <s v="Justin Bieber"/>
        <s v="One Direction"/>
        <s v="Panic! At The Disco"/>
        <s v="Vance Joy"/>
        <s v="KALEO"/>
        <s v="Conan Gray"/>
        <s v="24kGoldn ft. iann dior"/>
        <s v="Halsey"/>
        <s v="The Chainsmokers &amp; Coldplay"/>
        <s v="SAINt JHN"/>
        <s v="JVKE"/>
        <s v="Sia"/>
        <s v="GAYLE"/>
        <s v="Nicky Youre &amp; Dazy"/>
        <s v="Benson Boone"/>
        <s v="Elley DuhÃ©"/>
        <s v="Jawsh 685 &amp; Jason Derulo"/>
        <s v="ROSE &amp; Bruno Mars"/>
        <s v="My Chemical Romance"/>
        <s v="Goo Goo Dolls"/>
        <s v="Masked Wolf"/>
        <s v="BeyoncÃ© ft. Post Malone"/>
        <s v="Teddy Swims"/>
        <s v="Hozier"/>
        <s v="Duncan Laurence"/>
        <s v="Wiz Khalifa ft. Charlie Puth"/>
        <s v="Charlie Puth"/>
        <s v="Doja Cat ft. SZA"/>
        <s v="Djo"/>
        <s v="Lorde"/>
        <s v="Fools Garden"/>
        <s v="Muse"/>
        <s v="Cyril &amp; Violet Skies"/>
        <s v="Silk City &amp; Dua Lipa"/>
        <s v="The Weeknd &amp; RosalÃ­a"/>
        <s v="Peachy feat. mxmtoon"/>
        <s v="Drake ft. Lil Durk"/>
      </sharedItems>
    </cacheField>
    <cacheField name="total_streams_billions" numFmtId="0">
      <sharedItems containsSemiMixedTypes="0" containsString="0" containsNumber="1" minValue="1.4" maxValue="5.26" count="94">
        <n v="5.26"/>
        <n v="4.9000000000000004"/>
        <n v="4.05"/>
        <n v="3.98"/>
        <n v="3.92"/>
        <n v="3.87"/>
        <n v="3.76"/>
        <n v="3.72"/>
        <n v="3.69"/>
        <n v="3.65"/>
        <n v="3.62"/>
        <n v="3.58"/>
        <n v="3.55"/>
        <n v="3.52"/>
        <n v="3.4"/>
        <n v="3.37"/>
        <n v="3.34"/>
        <n v="3.31"/>
        <n v="3.28"/>
        <n v="3.25"/>
        <n v="3.22"/>
        <n v="3.19"/>
        <n v="3.16"/>
        <n v="3.14"/>
        <n v="3.11"/>
        <n v="3.08"/>
        <n v="3.02"/>
        <n v="2.99"/>
        <n v="2.88"/>
        <n v="2.86"/>
        <n v="2.84"/>
        <n v="2.5299999999999998"/>
        <n v="2.4700000000000002"/>
        <n v="2.72"/>
        <n v="2.15"/>
        <n v="2.13"/>
        <n v="2.02"/>
        <n v="1.95"/>
        <n v="1.82"/>
        <n v="1.8"/>
        <n v="1.76"/>
        <n v="1.74"/>
        <n v="1.52"/>
        <n v="1.5"/>
        <n v="1.48"/>
        <n v="2.76"/>
        <n v="2.62"/>
        <n v="2.59"/>
        <n v="2.56"/>
        <n v="1.84"/>
        <n v="1.6"/>
        <n v="2.4"/>
        <n v="3.49"/>
        <n v="1.62"/>
        <n v="2.34"/>
        <n v="2.3199999999999998"/>
        <n v="2.5"/>
        <n v="2.29"/>
        <n v="2.2599999999999998"/>
        <n v="2.2000000000000002"/>
        <n v="3.45"/>
        <n v="2.93"/>
        <n v="2.82"/>
        <n v="2.9"/>
        <n v="2.65"/>
        <n v="3.42"/>
        <n v="2.1"/>
        <n v="2.08"/>
        <n v="2.68"/>
        <n v="2.96"/>
        <n v="1.99"/>
        <n v="1.64"/>
        <n v="1.4"/>
        <n v="2.7"/>
        <n v="1.86"/>
        <n v="1.66"/>
        <n v="1.78"/>
        <n v="1.72"/>
        <n v="1.7"/>
        <n v="1.68"/>
        <n v="1.65"/>
        <n v="1.63"/>
        <n v="2.0499999999999998"/>
        <n v="1.9"/>
        <n v="1.88"/>
        <n v="1.42"/>
        <n v="1.44"/>
        <n v="2.23"/>
        <n v="1.54"/>
        <n v="1.46"/>
        <n v="1.58"/>
        <n v="1.92"/>
        <n v="1.56"/>
        <n v="3.05"/>
      </sharedItems>
    </cacheField>
    <cacheField name="primary_genre" numFmtId="0">
      <sharedItems count="39">
        <s v="Synth-Pop"/>
        <s v="Pop/Dancehall"/>
        <s v="Pop"/>
        <s v="Hip-Hop/Pop"/>
        <s v="Afrobeats/Pop"/>
        <s v="Alt Rock"/>
        <s v="Hip-Hop"/>
        <s v="EDM/Pop"/>
        <s v="Latin Pop"/>
        <s v="Indie Pop"/>
        <s v="Pop/Folk"/>
        <s v="Nu-Disco"/>
        <s v="Electropop"/>
        <s v="Pop Rap"/>
        <s v="Pop/Country"/>
        <s v="Pop/Funk"/>
        <s v="Pop Rock"/>
        <s v="Emo Rap"/>
        <s v="R&amp;B"/>
        <s v="Funk/Pop"/>
        <s v="Indie Rock"/>
        <s v="Reggaeton"/>
        <s v="Pop/Soul"/>
        <s v="Grunge"/>
        <s v="Art Pop"/>
        <s v="Pop Punk"/>
        <s v="Holiday Pop"/>
        <s v="Trap Pop"/>
        <s v="R&amp;B/Pop"/>
        <s v="Indie Folk"/>
        <s v="Blues Rock"/>
        <s v="Folk Pop"/>
        <s v="Acoustic Pop"/>
        <s v="Soul/R&amp;B"/>
        <s v="K-Pop/Pop"/>
        <s v="Country/Pop"/>
        <s v="R&amp;B/Soul"/>
        <s v="Art Rock"/>
        <s v="Pop/R&amp;B"/>
      </sharedItems>
    </cacheField>
    <cacheField name="bpm" numFmtId="0">
      <sharedItems containsSemiMixedTypes="0" containsString="0" containsNumber="1" containsInteger="1" minValue="62" maxValue="191"/>
    </cacheField>
    <cacheField name="release_year" numFmtId="0">
      <sharedItems containsSemiMixedTypes="0" containsString="0" containsNumber="1" containsInteger="1" minValue="1985" maxValue="2024" count="22">
        <n v="2019"/>
        <n v="2017"/>
        <n v="2018"/>
        <n v="2016"/>
        <n v="2021"/>
        <n v="2020"/>
        <n v="2022"/>
        <n v="2023"/>
        <n v="2013"/>
        <n v="2014"/>
        <n v="2002"/>
        <n v="2003"/>
        <n v="1991"/>
        <n v="2024"/>
        <n v="2012"/>
        <n v="1985"/>
        <n v="1994"/>
        <n v="2015"/>
        <n v="2006"/>
        <n v="1998"/>
        <n v="1996"/>
        <n v="2001"/>
      </sharedItems>
      <fieldGroup par="12"/>
    </cacheField>
    <cacheField name="artist_country" numFmtId="0">
      <sharedItems/>
    </cacheField>
    <cacheField name="explicit" numFmtId="0">
      <sharedItems/>
    </cacheField>
    <cacheField name="danceability" numFmtId="0">
      <sharedItems containsSemiMixedTypes="0" containsString="0" containsNumber="1" minValue="0.3" maxValue="0.9"/>
    </cacheField>
    <cacheField name="energy" numFmtId="0">
      <sharedItems containsSemiMixedTypes="0" containsString="0" containsNumber="1" minValue="0.26" maxValue="0.96"/>
    </cacheField>
    <cacheField name="valence" numFmtId="0">
      <sharedItems containsSemiMixedTypes="0" containsString="0" containsNumber="1" minValue="7.0000000000000007E-2" maxValue="0.96"/>
    </cacheField>
    <cacheField name="acousticness" numFmtId="0">
      <sharedItems containsSemiMixedTypes="0" containsString="0" containsNumber="1" minValue="0" maxValue="0.76"/>
    </cacheField>
    <cacheField name="dataset_part" numFmtId="0">
      <sharedItems/>
    </cacheField>
    <cacheField name="release_year2" numFmtId="0" databaseField="0">
      <fieldGroup base="4">
        <discretePr count="22">
          <x v="0"/>
          <x v="1"/>
          <x v="2"/>
          <x v="3"/>
          <x v="4"/>
          <x v="5"/>
          <x v="6"/>
          <x v="7"/>
          <x v="8"/>
          <x v="9"/>
          <x v="12"/>
          <x v="12"/>
          <x v="12"/>
          <x v="10"/>
          <x v="12"/>
          <x v="12"/>
          <x v="12"/>
          <x v="11"/>
          <x v="12"/>
          <x v="12"/>
          <x v="12"/>
          <x v="12"/>
        </discretePr>
        <groupItems count="13">
          <n v="2019"/>
          <n v="2017"/>
          <n v="2018"/>
          <n v="2016"/>
          <n v="2021"/>
          <n v="2020"/>
          <n v="2022"/>
          <n v="2023"/>
          <n v="2013"/>
          <n v="2014"/>
          <n v="2024"/>
          <n v="2015"/>
          <s v="Group1"/>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JAY SINGH" refreshedDate="46117.996414120367" createdVersion="8" refreshedVersion="8" minRefreshableVersion="3" recordCount="100" xr:uid="{033D82B0-9495-470A-B023-C0BA896EEC81}">
  <cacheSource type="worksheet">
    <worksheetSource name="Table1"/>
  </cacheSource>
  <cacheFields count="16">
    <cacheField name="alltime_rank" numFmtId="0">
      <sharedItems containsSemiMixedTypes="0" containsString="0" containsNumber="1" containsInteger="1" minValue="1" maxValue="100"/>
    </cacheField>
    <cacheField name="song_title" numFmtId="0">
      <sharedItems/>
    </cacheField>
    <cacheField name="artist" numFmtId="0">
      <sharedItems count="80">
        <s v="The Weeknd"/>
        <s v="Ed Sheeran"/>
        <s v="Lewis Capaldi"/>
        <s v="Post Malone &amp; Swae Lee"/>
        <s v="Drake"/>
        <s v="The Kid LAROI &amp; Justin Bieber"/>
        <s v="Imagine Dragons"/>
        <s v="Post Malone ft. 21 Savage"/>
        <s v="Tones and I"/>
        <s v="Marshmello &amp; Bastille"/>
        <s v="Shawn Mendes &amp; Camila Cabello"/>
        <s v="Harry Styles"/>
        <s v="Dua Lipa"/>
        <s v="Glass Animals"/>
        <s v="Billie Eilish"/>
        <s v="Olivia Rodrigo"/>
        <s v="Post Malone"/>
        <s v="Maroon 5"/>
        <s v="Lady Gaga &amp; Bradley Cooper"/>
        <s v="BTS"/>
        <s v="Miley Cyrus"/>
        <s v="OneRepublic"/>
        <s v="Juice WRLD"/>
        <s v="The Chainsmokers ft. Halsey"/>
        <s v="Rema &amp; Selena Gomez"/>
        <s v="Taylor Swift"/>
        <s v="Billie Eilish &amp; Khalid"/>
        <s v="Mark Ronson ft. Bruno Mars"/>
        <s v="The Neighbourhood"/>
        <s v="Luis Fonsi ft. Daddy Yankee"/>
        <s v="Camila Cabello ft. Young Thug"/>
        <s v="Adele"/>
        <s v="Eminem"/>
        <s v="Linkin Park"/>
        <s v="Nirvana"/>
        <s v="Sabrina Carpenter"/>
        <s v="Kate Bush"/>
        <s v="Kendrick Lamar"/>
        <s v="Mariah Carey"/>
        <s v="The Weeknd ft. Daft Punk"/>
        <s v="Travis Scott"/>
        <s v="Ariana Grande"/>
        <s v="Lady Gaga &amp; Bruno Mars"/>
        <s v="Justin Bieber"/>
        <s v="One Direction"/>
        <s v="Panic! At The Disco"/>
        <s v="Vance Joy"/>
        <s v="KALEO"/>
        <s v="Conan Gray"/>
        <s v="24kGoldn ft. iann dior"/>
        <s v="Halsey"/>
        <s v="The Chainsmokers &amp; Coldplay"/>
        <s v="SAINt JHN"/>
        <s v="JVKE"/>
        <s v="Sia"/>
        <s v="GAYLE"/>
        <s v="Nicky Youre &amp; Dazy"/>
        <s v="Benson Boone"/>
        <s v="Elley DuhÃ©"/>
        <s v="Jawsh 685 &amp; Jason Derulo"/>
        <s v="ROSE &amp; Bruno Mars"/>
        <s v="My Chemical Romance"/>
        <s v="Goo Goo Dolls"/>
        <s v="Masked Wolf"/>
        <s v="BeyoncÃ© ft. Post Malone"/>
        <s v="Teddy Swims"/>
        <s v="Hozier"/>
        <s v="Duncan Laurence"/>
        <s v="Wiz Khalifa ft. Charlie Puth"/>
        <s v="Charlie Puth"/>
        <s v="Doja Cat ft. SZA"/>
        <s v="Djo"/>
        <s v="Lorde"/>
        <s v="Fools Garden"/>
        <s v="Muse"/>
        <s v="Cyril &amp; Violet Skies"/>
        <s v="Silk City &amp; Dua Lipa"/>
        <s v="The Weeknd &amp; RosalÃ­a"/>
        <s v="Peachy feat. mxmtoon"/>
        <s v="Drake ft. Lil Durk"/>
      </sharedItems>
    </cacheField>
    <cacheField name="total_streams_billions" numFmtId="0">
      <sharedItems containsSemiMixedTypes="0" containsString="0" containsNumber="1" minValue="1.4" maxValue="5.26"/>
    </cacheField>
    <cacheField name="primary_genre" numFmtId="0">
      <sharedItems count="39">
        <s v="Synth-Pop"/>
        <s v="Pop/Dancehall"/>
        <s v="Pop"/>
        <s v="Hip-Hop/Pop"/>
        <s v="Afrobeats/Pop"/>
        <s v="Alt Rock"/>
        <s v="Hip-Hop"/>
        <s v="EDM/Pop"/>
        <s v="Latin Pop"/>
        <s v="Indie Pop"/>
        <s v="Pop/Folk"/>
        <s v="Nu-Disco"/>
        <s v="Electropop"/>
        <s v="Pop Rap"/>
        <s v="Pop/Country"/>
        <s v="Pop/Funk"/>
        <s v="Pop Rock"/>
        <s v="Emo Rap"/>
        <s v="R&amp;B"/>
        <s v="Funk/Pop"/>
        <s v="Indie Rock"/>
        <s v="Reggaeton"/>
        <s v="Pop/Soul"/>
        <s v="Grunge"/>
        <s v="Art Pop"/>
        <s v="Pop Punk"/>
        <s v="Holiday Pop"/>
        <s v="Trap Pop"/>
        <s v="R&amp;B/Pop"/>
        <s v="Indie Folk"/>
        <s v="Blues Rock"/>
        <s v="Folk Pop"/>
        <s v="Acoustic Pop"/>
        <s v="Soul/R&amp;B"/>
        <s v="K-Pop/Pop"/>
        <s v="Country/Pop"/>
        <s v="R&amp;B/Soul"/>
        <s v="Art Rock"/>
        <s v="Pop/R&amp;B"/>
      </sharedItems>
      <fieldGroup par="14"/>
    </cacheField>
    <cacheField name="bpm" numFmtId="0">
      <sharedItems containsSemiMixedTypes="0" containsString="0" containsNumber="1" containsInteger="1" minValue="62" maxValue="191"/>
    </cacheField>
    <cacheField name="release_year" numFmtId="0">
      <sharedItems containsSemiMixedTypes="0" containsString="0" containsNumber="1" containsInteger="1" minValue="1985" maxValue="2024"/>
    </cacheField>
    <cacheField name="artist_country" numFmtId="0">
      <sharedItems count="17">
        <s v="Canada"/>
        <s v="UK"/>
        <s v="USA"/>
        <s v="Australia"/>
        <s v="USA/UK"/>
        <s v="Canada/Cuba"/>
        <s v="South Korea"/>
        <s v="Nigeria/USA"/>
        <s v="Puerto Rico"/>
        <s v="Cuba/USA"/>
        <s v="Iceland"/>
        <s v="NZ/USA"/>
        <s v="Ireland"/>
        <s v="Netherlands"/>
        <s v="New Zealand"/>
        <s v="Germany"/>
        <s v="Canada/Spain"/>
      </sharedItems>
      <fieldGroup par="15"/>
    </cacheField>
    <cacheField name="explicit" numFmtId="0">
      <sharedItems count="2">
        <b v="0"/>
        <b v="1"/>
      </sharedItems>
    </cacheField>
    <cacheField name="danceability" numFmtId="0">
      <sharedItems containsSemiMixedTypes="0" containsString="0" containsNumber="1" minValue="0.3" maxValue="0.9"/>
    </cacheField>
    <cacheField name="energy" numFmtId="0">
      <sharedItems containsSemiMixedTypes="0" containsString="0" containsNumber="1" minValue="0.26" maxValue="0.96"/>
    </cacheField>
    <cacheField name="valence" numFmtId="0">
      <sharedItems containsSemiMixedTypes="0" containsString="0" containsNumber="1" minValue="7.0000000000000007E-2" maxValue="0.96"/>
    </cacheField>
    <cacheField name="acousticness" numFmtId="0">
      <sharedItems containsSemiMixedTypes="0" containsString="0" containsNumber="1" minValue="0" maxValue="0.76"/>
    </cacheField>
    <cacheField name="dataset_part" numFmtId="0">
      <sharedItems/>
    </cacheField>
    <cacheField name="primary_genre2" numFmtId="0" databaseField="0">
      <fieldGroup base="4">
        <discretePr count="39">
          <x v="0"/>
          <x v="7"/>
          <x v="1"/>
          <x v="7"/>
          <x v="7"/>
          <x v="2"/>
          <x v="3"/>
          <x v="4"/>
          <x v="7"/>
          <x v="5"/>
          <x v="7"/>
          <x v="7"/>
          <x v="7"/>
          <x v="7"/>
          <x v="7"/>
          <x v="7"/>
          <x v="6"/>
          <x v="7"/>
          <x v="7"/>
          <x v="7"/>
          <x v="7"/>
          <x v="7"/>
          <x v="7"/>
          <x v="7"/>
          <x v="7"/>
          <x v="7"/>
          <x v="7"/>
          <x v="7"/>
          <x v="7"/>
          <x v="7"/>
          <x v="7"/>
          <x v="7"/>
          <x v="7"/>
          <x v="7"/>
          <x v="7"/>
          <x v="7"/>
          <x v="7"/>
          <x v="7"/>
          <x v="7"/>
        </discretePr>
        <groupItems count="8">
          <s v="Synth-Pop"/>
          <s v="Pop"/>
          <s v="Alt Rock"/>
          <s v="Hip-Hop"/>
          <s v="EDM/Pop"/>
          <s v="Indie Pop"/>
          <s v="Pop Rock"/>
          <s v="Group1"/>
        </groupItems>
      </fieldGroup>
    </cacheField>
    <cacheField name="artist_country2" numFmtId="0" databaseField="0">
      <fieldGroup base="7">
        <discretePr count="17">
          <x v="0"/>
          <x v="1"/>
          <x v="2"/>
          <x v="3"/>
          <x v="4"/>
          <x v="5"/>
          <x v="6"/>
          <x v="7"/>
          <x v="7"/>
          <x v="7"/>
          <x v="7"/>
          <x v="7"/>
          <x v="7"/>
          <x v="7"/>
          <x v="7"/>
          <x v="7"/>
          <x v="7"/>
        </discretePr>
        <groupItems count="8">
          <s v="Canada"/>
          <s v="UK"/>
          <s v="USA"/>
          <s v="Australia"/>
          <s v="USA/UK"/>
          <s v="Canada/Cuba"/>
          <s v="South Korea"/>
          <s v="Group1"/>
        </groupItems>
      </fieldGroup>
    </cacheField>
  </cacheFields>
  <extLst>
    <ext xmlns:x14="http://schemas.microsoft.com/office/spreadsheetml/2009/9/main" uri="{725AE2AE-9491-48be-B2B4-4EB974FC3084}">
      <x14:pivotCacheDefinition pivotCacheId="1087717387"/>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JAY SINGH" refreshedDate="46118.090210416667" createdVersion="8" refreshedVersion="8" minRefreshableVersion="3" recordCount="101" xr:uid="{FD7B8D83-DC9A-4044-9C9E-EA314E7A9ED6}">
  <cacheSource type="worksheet">
    <worksheetSource ref="A1:N1048576" sheet="spotify_alltime_top100_songs"/>
  </cacheSource>
  <cacheFields count="14">
    <cacheField name="alltime_rank" numFmtId="0">
      <sharedItems containsString="0" containsBlank="1" containsNumber="1" containsInteger="1" minValue="1" maxValue="100"/>
    </cacheField>
    <cacheField name="song_title" numFmtId="0">
      <sharedItems containsBlank="1" count="101">
        <s v="Blinding Lights"/>
        <s v="Shape of You"/>
        <s v="Someone You Loved"/>
        <s v="Sunflower"/>
        <s v="One Dance"/>
        <s v="Stay"/>
        <s v="Believer"/>
        <s v="Rockstar"/>
        <s v="Dance Monkey"/>
        <s v="Happier"/>
        <s v="Senorita"/>
        <s v="Watermelon Sugar"/>
        <s v="Perfect"/>
        <s v="Levitating"/>
        <s v="Heat Waves"/>
        <s v="Bad Guy"/>
        <s v="Drivers License"/>
        <s v="Circles"/>
        <s v="Memories"/>
        <s v="Shallow"/>
        <s v="As It Was"/>
        <s v="Dynamite"/>
        <s v="Flowers"/>
        <s v="Counting Stars"/>
        <s v="Lucid Dreams"/>
        <s v="Closer"/>
        <s v="Calm Down"/>
        <s v="Anti-Hero"/>
        <s v="Save Your Tears"/>
        <s v="Die For You"/>
        <s v="Lovely"/>
        <s v="Uptown Funk"/>
        <s v="Sweater Weather"/>
        <s v="Cruel Summer"/>
        <s v="Despacito"/>
        <s v="Havana"/>
        <s v="Easy On Me"/>
        <s v="Lose Yourself"/>
        <s v="Numb"/>
        <s v="Smells Like Teen Spirit"/>
        <s v="Espresso"/>
        <s v="Radioactive"/>
        <s v="Running Up That Hill"/>
        <s v="Not Like Us"/>
        <s v="good 4 u"/>
        <s v="All I Want for Christmas Is You"/>
        <s v="Starboy"/>
        <s v="goosebumps"/>
        <s v="7 rings"/>
        <s v="Die With A Smile"/>
        <s v="Peaches"/>
        <s v="Falling"/>
        <s v="Thunder"/>
        <s v="Bad Habits"/>
        <s v="Butter"/>
        <s v="Night Changes"/>
        <s v="High Hopes"/>
        <s v="Riptide"/>
        <s v="Way Down We Go"/>
        <s v="Heather"/>
        <s v="Mood"/>
        <s v="Photograph"/>
        <s v="Love Yourself"/>
        <s v="Without Me"/>
        <s v="Something Just Like This"/>
        <s v="Positions"/>
        <s v="Roses"/>
        <s v="Thinking Out Loud"/>
        <s v="Wrecking Ball"/>
        <s v="golden hour"/>
        <s v="Unstoppable"/>
        <s v="abcdefu"/>
        <s v="Sunroof"/>
        <s v="Beautiful Things"/>
        <s v="middle of the night"/>
        <s v="Savage Love"/>
        <s v="APT."/>
        <s v="Welcome To The Black Parade"/>
        <s v="Iris"/>
        <s v="Astronaut In The Ocean"/>
        <s v="Levii's Jeans"/>
        <s v="Lose Control"/>
        <s v="Too Sweet"/>
        <s v="Sign of the Times"/>
        <s v="Adore You"/>
        <s v="Arcade"/>
        <s v="See You Again"/>
        <s v="Attention"/>
        <s v="In The Stars"/>
        <s v="Kiss Me More"/>
        <s v="End Of Beginning"/>
        <s v="Ribs"/>
        <s v="Lemon Tree"/>
        <s v="Bliss"/>
        <s v="Stumblin' In"/>
        <s v="Electricity"/>
        <s v="Blinding Lights (Remix)"/>
        <s v="Falling For You"/>
        <s v="Laugh Now Cry Later"/>
        <s v="Shake It Off"/>
        <m/>
      </sharedItems>
    </cacheField>
    <cacheField name="artist" numFmtId="0">
      <sharedItems containsBlank="1" count="81">
        <s v="The Weeknd"/>
        <s v="Ed Sheeran"/>
        <s v="Lewis Capaldi"/>
        <s v="Post Malone &amp; Swae Lee"/>
        <s v="Drake"/>
        <s v="The Kid LAROI &amp; Justin Bieber"/>
        <s v="Imagine Dragons"/>
        <s v="Post Malone ft. 21 Savage"/>
        <s v="Tones and I"/>
        <s v="Marshmello &amp; Bastille"/>
        <s v="Shawn Mendes &amp; Camila Cabello"/>
        <s v="Harry Styles"/>
        <s v="Dua Lipa"/>
        <s v="Glass Animals"/>
        <s v="Billie Eilish"/>
        <s v="Olivia Rodrigo"/>
        <s v="Post Malone"/>
        <s v="Maroon 5"/>
        <s v="Lady Gaga &amp; Bradley Cooper"/>
        <s v="BTS"/>
        <s v="Miley Cyrus"/>
        <s v="OneRepublic"/>
        <s v="Juice WRLD"/>
        <s v="The Chainsmokers ft. Halsey"/>
        <s v="Rema &amp; Selena Gomez"/>
        <s v="Taylor Swift"/>
        <s v="Billie Eilish &amp; Khalid"/>
        <s v="Mark Ronson ft. Bruno Mars"/>
        <s v="The Neighbourhood"/>
        <s v="Luis Fonsi ft. Daddy Yankee"/>
        <s v="Camila Cabello ft. Young Thug"/>
        <s v="Adele"/>
        <s v="Eminem"/>
        <s v="Linkin Park"/>
        <s v="Nirvana"/>
        <s v="Sabrina Carpenter"/>
        <s v="Kate Bush"/>
        <s v="Kendrick Lamar"/>
        <s v="Mariah Carey"/>
        <s v="The Weeknd ft. Daft Punk"/>
        <s v="Travis Scott"/>
        <s v="Ariana Grande"/>
        <s v="Lady Gaga &amp; Bruno Mars"/>
        <s v="Justin Bieber"/>
        <s v="One Direction"/>
        <s v="Panic! At The Disco"/>
        <s v="Vance Joy"/>
        <s v="KALEO"/>
        <s v="Conan Gray"/>
        <s v="24kGoldn ft. iann dior"/>
        <s v="Halsey"/>
        <s v="The Chainsmokers &amp; Coldplay"/>
        <s v="SAINt JHN"/>
        <s v="JVKE"/>
        <s v="Sia"/>
        <s v="GAYLE"/>
        <s v="Nicky Youre &amp; Dazy"/>
        <s v="Benson Boone"/>
        <s v="Elley DuhÃ©"/>
        <s v="Jawsh 685 &amp; Jason Derulo"/>
        <s v="ROSE &amp; Bruno Mars"/>
        <s v="My Chemical Romance"/>
        <s v="Goo Goo Dolls"/>
        <s v="Masked Wolf"/>
        <s v="BeyoncÃ© ft. Post Malone"/>
        <s v="Teddy Swims"/>
        <s v="Hozier"/>
        <s v="Duncan Laurence"/>
        <s v="Wiz Khalifa ft. Charlie Puth"/>
        <s v="Charlie Puth"/>
        <s v="Doja Cat ft. SZA"/>
        <s v="Djo"/>
        <s v="Lorde"/>
        <s v="Fools Garden"/>
        <s v="Muse"/>
        <s v="Cyril &amp; Violet Skies"/>
        <s v="Silk City &amp; Dua Lipa"/>
        <s v="The Weeknd &amp; RosalÃ­a"/>
        <s v="Peachy feat. mxmtoon"/>
        <s v="Drake ft. Lil Durk"/>
        <m/>
      </sharedItems>
    </cacheField>
    <cacheField name="total_streams_billions" numFmtId="0">
      <sharedItems containsString="0" containsBlank="1" containsNumber="1" minValue="1.4" maxValue="5.26"/>
    </cacheField>
    <cacheField name="primary_genre" numFmtId="0">
      <sharedItems containsBlank="1"/>
    </cacheField>
    <cacheField name="bpm" numFmtId="0">
      <sharedItems containsString="0" containsBlank="1" containsNumber="1" containsInteger="1" minValue="62" maxValue="191"/>
    </cacheField>
    <cacheField name="release_year" numFmtId="0">
      <sharedItems containsString="0" containsBlank="1" containsNumber="1" containsInteger="1" minValue="1985" maxValue="2024"/>
    </cacheField>
    <cacheField name="artist_country" numFmtId="0">
      <sharedItems containsBlank="1"/>
    </cacheField>
    <cacheField name="explicit" numFmtId="0">
      <sharedItems containsBlank="1"/>
    </cacheField>
    <cacheField name="danceability" numFmtId="0">
      <sharedItems containsString="0" containsBlank="1" containsNumber="1" minValue="0.3" maxValue="0.9"/>
    </cacheField>
    <cacheField name="energy" numFmtId="0">
      <sharedItems containsString="0" containsBlank="1" containsNumber="1" minValue="0.26" maxValue="0.96"/>
    </cacheField>
    <cacheField name="valence" numFmtId="0">
      <sharedItems containsString="0" containsBlank="1" containsNumber="1" minValue="7.0000000000000007E-2" maxValue="0.96"/>
    </cacheField>
    <cacheField name="acousticness" numFmtId="0">
      <sharedItems containsString="0" containsBlank="1" containsNumber="1" minValue="0" maxValue="0.76"/>
    </cacheField>
    <cacheField name="dataset_part"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x v="0"/>
    <n v="171"/>
    <x v="0"/>
    <s v="Canada"/>
    <b v="0"/>
    <n v="0.51"/>
    <n v="0.8"/>
    <n v="0.33"/>
    <n v="0"/>
    <s v="Spotify All-Time Most Streamed Top 100"/>
  </r>
  <r>
    <x v="1"/>
    <x v="1"/>
    <x v="1"/>
    <n v="96"/>
    <x v="1"/>
    <s v="UK"/>
    <b v="0"/>
    <n v="0.83"/>
    <n v="0.65"/>
    <n v="0.93"/>
    <n v="0.08"/>
    <s v="Spotify All-Time Most Streamed Top 100"/>
  </r>
  <r>
    <x v="2"/>
    <x v="2"/>
    <x v="2"/>
    <n v="77"/>
    <x v="2"/>
    <s v="UK"/>
    <b v="0"/>
    <n v="0.6"/>
    <n v="0.45"/>
    <n v="0.42"/>
    <n v="0.28999999999999998"/>
    <s v="Spotify All-Time Most Streamed Top 100"/>
  </r>
  <r>
    <x v="3"/>
    <x v="3"/>
    <x v="3"/>
    <n v="93"/>
    <x v="2"/>
    <s v="USA"/>
    <b v="0"/>
    <n v="0.76"/>
    <n v="0.49"/>
    <n v="0.84"/>
    <n v="0.15"/>
    <s v="Spotify All-Time Most Streamed Top 100"/>
  </r>
  <r>
    <x v="4"/>
    <x v="4"/>
    <x v="4"/>
    <n v="100"/>
    <x v="3"/>
    <s v="Canada"/>
    <b v="0"/>
    <n v="0.79"/>
    <n v="0.62"/>
    <n v="0.68"/>
    <n v="0.09"/>
    <s v="Spotify All-Time Most Streamed Top 100"/>
  </r>
  <r>
    <x v="5"/>
    <x v="5"/>
    <x v="2"/>
    <n v="170"/>
    <x v="4"/>
    <s v="Australia"/>
    <b v="1"/>
    <n v="0.59"/>
    <n v="0.8"/>
    <n v="0.6"/>
    <n v="0"/>
    <s v="Spotify All-Time Most Streamed Top 100"/>
  </r>
  <r>
    <x v="6"/>
    <x v="6"/>
    <x v="5"/>
    <n v="125"/>
    <x v="1"/>
    <s v="USA"/>
    <b v="0"/>
    <n v="0.33"/>
    <n v="0.86"/>
    <n v="0.45"/>
    <n v="7.0000000000000007E-2"/>
    <s v="Spotify All-Time Most Streamed Top 100"/>
  </r>
  <r>
    <x v="7"/>
    <x v="7"/>
    <x v="6"/>
    <n v="159"/>
    <x v="1"/>
    <s v="USA"/>
    <b v="1"/>
    <n v="0.55000000000000004"/>
    <n v="0.52"/>
    <n v="0.13"/>
    <n v="0.08"/>
    <s v="Spotify All-Time Most Streamed Top 100"/>
  </r>
  <r>
    <x v="8"/>
    <x v="8"/>
    <x v="2"/>
    <n v="98"/>
    <x v="0"/>
    <s v="Australia"/>
    <b v="0"/>
    <n v="0.83"/>
    <n v="0.63"/>
    <n v="0.73"/>
    <n v="0.14000000000000001"/>
    <s v="Spotify All-Time Most Streamed Top 100"/>
  </r>
  <r>
    <x v="9"/>
    <x v="9"/>
    <x v="7"/>
    <n v="100"/>
    <x v="2"/>
    <s v="USA/UK"/>
    <b v="0"/>
    <n v="0.62"/>
    <n v="0.82"/>
    <n v="0.96"/>
    <n v="0.02"/>
    <s v="Spotify All-Time Most Streamed Top 100"/>
  </r>
  <r>
    <x v="10"/>
    <x v="10"/>
    <x v="8"/>
    <n v="117"/>
    <x v="0"/>
    <s v="Canada/Cuba"/>
    <b v="0"/>
    <n v="0.75"/>
    <n v="0.74"/>
    <n v="0.75"/>
    <n v="0.14000000000000001"/>
    <s v="Spotify All-Time Most Streamed Top 100"/>
  </r>
  <r>
    <x v="11"/>
    <x v="11"/>
    <x v="9"/>
    <n v="95"/>
    <x v="0"/>
    <s v="UK"/>
    <b v="0"/>
    <n v="0.55000000000000004"/>
    <n v="0.82"/>
    <n v="0.74"/>
    <n v="0.12"/>
    <s v="Spotify All-Time Most Streamed Top 100"/>
  </r>
  <r>
    <x v="1"/>
    <x v="12"/>
    <x v="10"/>
    <n v="95"/>
    <x v="1"/>
    <s v="UK"/>
    <b v="0"/>
    <n v="0.66"/>
    <n v="0.43"/>
    <n v="0.41"/>
    <n v="0.37"/>
    <s v="Spotify All-Time Most Streamed Top 100"/>
  </r>
  <r>
    <x v="12"/>
    <x v="13"/>
    <x v="11"/>
    <n v="103"/>
    <x v="5"/>
    <s v="UK"/>
    <b v="0"/>
    <n v="0.7"/>
    <n v="0.82"/>
    <n v="0.91"/>
    <n v="0"/>
    <s v="Spotify All-Time Most Streamed Top 100"/>
  </r>
  <r>
    <x v="13"/>
    <x v="14"/>
    <x v="9"/>
    <n v="80"/>
    <x v="5"/>
    <s v="UK"/>
    <b v="0"/>
    <n v="0.51"/>
    <n v="0.54"/>
    <n v="0.57999999999999996"/>
    <n v="0.22"/>
    <s v="Spotify All-Time Most Streamed Top 100"/>
  </r>
  <r>
    <x v="14"/>
    <x v="15"/>
    <x v="12"/>
    <n v="135"/>
    <x v="0"/>
    <s v="USA"/>
    <b v="0"/>
    <n v="0.7"/>
    <n v="0.43"/>
    <n v="0.56000000000000005"/>
    <n v="0"/>
    <s v="Spotify All-Time Most Streamed Top 100"/>
  </r>
  <r>
    <x v="15"/>
    <x v="16"/>
    <x v="2"/>
    <n v="73"/>
    <x v="4"/>
    <s v="USA"/>
    <b v="0"/>
    <n v="0.59"/>
    <n v="0.43"/>
    <n v="0.13"/>
    <n v="0.28000000000000003"/>
    <s v="Spotify All-Time Most Streamed Top 100"/>
  </r>
  <r>
    <x v="16"/>
    <x v="17"/>
    <x v="13"/>
    <n v="121"/>
    <x v="0"/>
    <s v="USA"/>
    <b v="0"/>
    <n v="0.69"/>
    <n v="0.55000000000000004"/>
    <n v="0.72"/>
    <n v="0.09"/>
    <s v="Spotify All-Time Most Streamed Top 100"/>
  </r>
  <r>
    <x v="17"/>
    <x v="18"/>
    <x v="2"/>
    <n v="91"/>
    <x v="0"/>
    <s v="USA"/>
    <b v="0"/>
    <n v="0.76"/>
    <n v="0.36"/>
    <n v="0.7"/>
    <n v="0.52"/>
    <s v="Spotify All-Time Most Streamed Top 100"/>
  </r>
  <r>
    <x v="18"/>
    <x v="19"/>
    <x v="14"/>
    <n v="96"/>
    <x v="2"/>
    <s v="USA"/>
    <b v="0"/>
    <n v="0.59"/>
    <n v="0.55000000000000004"/>
    <n v="0.37"/>
    <n v="0.22"/>
    <s v="Spotify All-Time Most Streamed Top 100"/>
  </r>
  <r>
    <x v="11"/>
    <x v="20"/>
    <x v="9"/>
    <n v="174"/>
    <x v="6"/>
    <s v="UK"/>
    <b v="0"/>
    <n v="0.52"/>
    <n v="0.73"/>
    <n v="0.36"/>
    <n v="0"/>
    <s v="Spotify All-Time Most Streamed Top 100"/>
  </r>
  <r>
    <x v="19"/>
    <x v="21"/>
    <x v="15"/>
    <n v="114"/>
    <x v="5"/>
    <s v="South Korea"/>
    <b v="0"/>
    <n v="0.74"/>
    <n v="0.77"/>
    <n v="0.74"/>
    <n v="0.01"/>
    <s v="Spotify All-Time Most Streamed Top 100"/>
  </r>
  <r>
    <x v="20"/>
    <x v="22"/>
    <x v="2"/>
    <n v="118"/>
    <x v="7"/>
    <s v="USA"/>
    <b v="0"/>
    <n v="0.74"/>
    <n v="0.74"/>
    <n v="0.88"/>
    <n v="0.1"/>
    <s v="Spotify All-Time Most Streamed Top 100"/>
  </r>
  <r>
    <x v="21"/>
    <x v="23"/>
    <x v="16"/>
    <n v="122"/>
    <x v="8"/>
    <s v="USA"/>
    <b v="0"/>
    <n v="0.62"/>
    <n v="0.8"/>
    <n v="0.57999999999999996"/>
    <n v="0.12"/>
    <s v="Spotify All-Time Most Streamed Top 100"/>
  </r>
  <r>
    <x v="22"/>
    <x v="24"/>
    <x v="17"/>
    <n v="84"/>
    <x v="2"/>
    <s v="USA"/>
    <b v="1"/>
    <n v="0.51"/>
    <n v="0.49"/>
    <n v="0.22"/>
    <n v="7.0000000000000007E-2"/>
    <s v="Spotify All-Time Most Streamed Top 100"/>
  </r>
  <r>
    <x v="23"/>
    <x v="25"/>
    <x v="7"/>
    <n v="95"/>
    <x v="3"/>
    <s v="USA"/>
    <b v="1"/>
    <n v="0.74"/>
    <n v="0.65"/>
    <n v="0.77"/>
    <n v="0.04"/>
    <s v="Spotify All-Time Most Streamed Top 100"/>
  </r>
  <r>
    <x v="24"/>
    <x v="26"/>
    <x v="4"/>
    <n v="106"/>
    <x v="6"/>
    <s v="Nigeria/USA"/>
    <b v="0"/>
    <n v="0.8"/>
    <n v="0.72"/>
    <n v="0.78"/>
    <n v="0.08"/>
    <s v="Spotify All-Time Most Streamed Top 100"/>
  </r>
  <r>
    <x v="25"/>
    <x v="27"/>
    <x v="9"/>
    <n v="97"/>
    <x v="6"/>
    <s v="USA"/>
    <b v="0"/>
    <n v="0.64"/>
    <n v="0.57999999999999996"/>
    <n v="0.47"/>
    <n v="0.1"/>
    <s v="Spotify All-Time Most Streamed Top 100"/>
  </r>
  <r>
    <x v="0"/>
    <x v="28"/>
    <x v="0"/>
    <n v="118"/>
    <x v="5"/>
    <s v="Canada"/>
    <b v="0"/>
    <n v="0.68"/>
    <n v="0.82"/>
    <n v="0.78"/>
    <n v="0.01"/>
    <s v="Spotify All-Time Most Streamed Top 100"/>
  </r>
  <r>
    <x v="0"/>
    <x v="29"/>
    <x v="18"/>
    <n v="95"/>
    <x v="3"/>
    <s v="Canada"/>
    <b v="0"/>
    <n v="0.4"/>
    <n v="0.55000000000000004"/>
    <n v="0.32"/>
    <n v="0.04"/>
    <s v="Spotify All-Time Most Streamed Top 100"/>
  </r>
  <r>
    <x v="26"/>
    <x v="30"/>
    <x v="9"/>
    <n v="95"/>
    <x v="2"/>
    <s v="USA"/>
    <b v="0"/>
    <n v="0.35"/>
    <n v="0.3"/>
    <n v="0.08"/>
    <n v="0.5"/>
    <s v="Spotify All-Time Most Streamed Top 100"/>
  </r>
  <r>
    <x v="27"/>
    <x v="31"/>
    <x v="19"/>
    <n v="115"/>
    <x v="9"/>
    <s v="USA"/>
    <b v="0"/>
    <n v="0.9"/>
    <n v="0.96"/>
    <n v="0.82"/>
    <n v="0.02"/>
    <s v="Spotify All-Time Most Streamed Top 100"/>
  </r>
  <r>
    <x v="28"/>
    <x v="32"/>
    <x v="20"/>
    <n v="124"/>
    <x v="8"/>
    <s v="USA"/>
    <b v="0"/>
    <n v="0.59"/>
    <n v="0.64"/>
    <n v="0.5"/>
    <n v="0.26"/>
    <s v="Spotify All-Time Most Streamed Top 100"/>
  </r>
  <r>
    <x v="25"/>
    <x v="33"/>
    <x v="0"/>
    <n v="170"/>
    <x v="0"/>
    <s v="USA"/>
    <b v="0"/>
    <n v="0.55000000000000004"/>
    <n v="0.7"/>
    <n v="0.56999999999999995"/>
    <n v="0.12"/>
    <s v="Spotify All-Time Most Streamed Top 100"/>
  </r>
  <r>
    <x v="29"/>
    <x v="34"/>
    <x v="21"/>
    <n v="178"/>
    <x v="1"/>
    <s v="Puerto Rico"/>
    <b v="0"/>
    <n v="0.69"/>
    <n v="0.81"/>
    <n v="0.81"/>
    <n v="0.22"/>
    <s v="Spotify All-Time Most Streamed Top 100"/>
  </r>
  <r>
    <x v="30"/>
    <x v="35"/>
    <x v="8"/>
    <n v="105"/>
    <x v="1"/>
    <s v="Cuba/USA"/>
    <b v="0"/>
    <n v="0.76"/>
    <n v="0.57999999999999996"/>
    <n v="0.61"/>
    <n v="0.14000000000000001"/>
    <s v="Spotify All-Time Most Streamed Top 100"/>
  </r>
  <r>
    <x v="31"/>
    <x v="36"/>
    <x v="22"/>
    <n v="62"/>
    <x v="4"/>
    <s v="UK"/>
    <b v="0"/>
    <n v="0.34"/>
    <n v="0.26"/>
    <n v="0.17"/>
    <n v="0.76"/>
    <s v="Spotify All-Time Most Streamed Top 100"/>
  </r>
  <r>
    <x v="32"/>
    <x v="37"/>
    <x v="6"/>
    <n v="171"/>
    <x v="10"/>
    <s v="USA"/>
    <b v="1"/>
    <n v="0.66"/>
    <n v="0.62"/>
    <n v="0.26"/>
    <n v="0"/>
    <s v="Spotify All-Time Most Streamed Top 100"/>
  </r>
  <r>
    <x v="33"/>
    <x v="38"/>
    <x v="5"/>
    <n v="118"/>
    <x v="11"/>
    <s v="USA"/>
    <b v="0"/>
    <n v="0.46"/>
    <n v="0.9"/>
    <n v="0.15"/>
    <n v="0.02"/>
    <s v="Spotify All-Time Most Streamed Top 100"/>
  </r>
  <r>
    <x v="34"/>
    <x v="39"/>
    <x v="23"/>
    <n v="117"/>
    <x v="12"/>
    <s v="USA"/>
    <b v="0"/>
    <n v="0.5"/>
    <n v="0.9"/>
    <n v="0.44"/>
    <n v="0"/>
    <s v="Spotify All-Time Most Streamed Top 100"/>
  </r>
  <r>
    <x v="35"/>
    <x v="40"/>
    <x v="2"/>
    <n v="104"/>
    <x v="13"/>
    <s v="USA"/>
    <b v="0"/>
    <n v="0.8"/>
    <n v="0.73"/>
    <n v="0.96"/>
    <n v="0.06"/>
    <s v="Spotify All-Time Most Streamed Top 100"/>
  </r>
  <r>
    <x v="6"/>
    <x v="41"/>
    <x v="5"/>
    <n v="136"/>
    <x v="14"/>
    <s v="USA"/>
    <b v="0"/>
    <n v="0.38"/>
    <n v="0.76"/>
    <n v="0.23"/>
    <n v="0.1"/>
    <s v="Spotify All-Time Most Streamed Top 100"/>
  </r>
  <r>
    <x v="36"/>
    <x v="42"/>
    <x v="24"/>
    <n v="112"/>
    <x v="15"/>
    <s v="UK"/>
    <b v="0"/>
    <n v="0.41"/>
    <n v="0.68"/>
    <n v="0.25"/>
    <n v="0.08"/>
    <s v="Spotify All-Time Most Streamed Top 100"/>
  </r>
  <r>
    <x v="37"/>
    <x v="43"/>
    <x v="6"/>
    <n v="101"/>
    <x v="13"/>
    <s v="USA"/>
    <b v="1"/>
    <n v="0.82"/>
    <n v="0.72"/>
    <n v="0.62"/>
    <n v="0.04"/>
    <s v="Spotify All-Time Most Streamed Top 100"/>
  </r>
  <r>
    <x v="15"/>
    <x v="44"/>
    <x v="25"/>
    <n v="166"/>
    <x v="4"/>
    <s v="USA"/>
    <b v="0"/>
    <n v="0.56000000000000005"/>
    <n v="0.9"/>
    <n v="0.65"/>
    <n v="0"/>
    <s v="Spotify All-Time Most Streamed Top 100"/>
  </r>
  <r>
    <x v="38"/>
    <x v="45"/>
    <x v="26"/>
    <n v="150"/>
    <x v="16"/>
    <s v="USA"/>
    <b v="0"/>
    <n v="0.42"/>
    <n v="0.66"/>
    <n v="0.78"/>
    <n v="0.32"/>
    <s v="Spotify All-Time Most Streamed Top 100"/>
  </r>
  <r>
    <x v="39"/>
    <x v="46"/>
    <x v="0"/>
    <n v="186"/>
    <x v="3"/>
    <s v="Canada"/>
    <b v="1"/>
    <n v="0.68"/>
    <n v="0.79"/>
    <n v="0.5"/>
    <n v="0"/>
    <s v="Spotify All-Time Most Streamed Top 100"/>
  </r>
  <r>
    <x v="40"/>
    <x v="47"/>
    <x v="6"/>
    <n v="130"/>
    <x v="3"/>
    <s v="USA"/>
    <b v="1"/>
    <n v="0.62"/>
    <n v="0.68"/>
    <n v="0.39"/>
    <n v="0.06"/>
    <s v="Spotify All-Time Most Streamed Top 100"/>
  </r>
  <r>
    <x v="41"/>
    <x v="48"/>
    <x v="27"/>
    <n v="140"/>
    <x v="0"/>
    <s v="USA"/>
    <b v="1"/>
    <n v="0.64"/>
    <n v="0.61"/>
    <n v="0.49"/>
    <n v="0.02"/>
    <s v="Spotify All-Time Most Streamed Top 100"/>
  </r>
  <r>
    <x v="42"/>
    <x v="49"/>
    <x v="2"/>
    <n v="120"/>
    <x v="13"/>
    <s v="USA"/>
    <b v="0"/>
    <n v="0.72"/>
    <n v="0.68"/>
    <n v="0.55000000000000004"/>
    <n v="0.18"/>
    <s v="Spotify All-Time Most Streamed Top 100"/>
  </r>
  <r>
    <x v="43"/>
    <x v="50"/>
    <x v="28"/>
    <n v="90"/>
    <x v="4"/>
    <s v="Canada"/>
    <b v="0"/>
    <n v="0.68"/>
    <n v="0.52"/>
    <n v="0.69"/>
    <n v="0.16"/>
    <s v="Spotify All-Time Most Streamed Top 100"/>
  </r>
  <r>
    <x v="11"/>
    <x v="51"/>
    <x v="16"/>
    <n v="88"/>
    <x v="0"/>
    <s v="UK"/>
    <b v="0"/>
    <n v="0.43"/>
    <n v="0.43"/>
    <n v="7.0000000000000007E-2"/>
    <n v="0.38"/>
    <s v="Spotify All-Time Most Streamed Top 100"/>
  </r>
  <r>
    <x v="6"/>
    <x v="52"/>
    <x v="5"/>
    <n v="168"/>
    <x v="1"/>
    <s v="USA"/>
    <b v="0"/>
    <n v="0.6"/>
    <n v="0.52"/>
    <n v="0.55000000000000004"/>
    <n v="0.01"/>
    <s v="Spotify All-Time Most Streamed Top 100"/>
  </r>
  <r>
    <x v="1"/>
    <x v="53"/>
    <x v="0"/>
    <n v="126"/>
    <x v="4"/>
    <s v="UK"/>
    <b v="0"/>
    <n v="0.68"/>
    <n v="0.83"/>
    <n v="0.72"/>
    <n v="0"/>
    <s v="Spotify All-Time Most Streamed Top 100"/>
  </r>
  <r>
    <x v="19"/>
    <x v="50"/>
    <x v="19"/>
    <n v="110"/>
    <x v="4"/>
    <s v="South Korea"/>
    <b v="0"/>
    <n v="0.79"/>
    <n v="0.73"/>
    <n v="0.74"/>
    <n v="0.01"/>
    <s v="Spotify All-Time Most Streamed Top 100"/>
  </r>
  <r>
    <x v="44"/>
    <x v="54"/>
    <x v="2"/>
    <n v="82"/>
    <x v="9"/>
    <s v="UK"/>
    <b v="0"/>
    <n v="0.56000000000000005"/>
    <n v="0.54"/>
    <n v="0.72"/>
    <n v="0.3"/>
    <s v="Spotify All-Time Most Streamed Top 100"/>
  </r>
  <r>
    <x v="45"/>
    <x v="55"/>
    <x v="16"/>
    <n v="191"/>
    <x v="2"/>
    <s v="USA"/>
    <b v="0"/>
    <n v="0.66"/>
    <n v="0.83"/>
    <n v="0.84"/>
    <n v="0.04"/>
    <s v="Spotify All-Time Most Streamed Top 100"/>
  </r>
  <r>
    <x v="46"/>
    <x v="56"/>
    <x v="29"/>
    <n v="131"/>
    <x v="8"/>
    <s v="Australia"/>
    <b v="0"/>
    <n v="0.66"/>
    <n v="0.55000000000000004"/>
    <n v="0.82"/>
    <n v="0.5"/>
    <s v="Spotify All-Time Most Streamed Top 100"/>
  </r>
  <r>
    <x v="47"/>
    <x v="57"/>
    <x v="30"/>
    <n v="78"/>
    <x v="3"/>
    <s v="Iceland"/>
    <b v="0"/>
    <n v="0.46"/>
    <n v="0.48"/>
    <n v="0.28000000000000003"/>
    <n v="0.26"/>
    <s v="Spotify All-Time Most Streamed Top 100"/>
  </r>
  <r>
    <x v="48"/>
    <x v="58"/>
    <x v="9"/>
    <n v="86"/>
    <x v="5"/>
    <s v="USA"/>
    <b v="0"/>
    <n v="0.44"/>
    <n v="0.3"/>
    <n v="0.3"/>
    <n v="0.54"/>
    <s v="Spotify All-Time Most Streamed Top 100"/>
  </r>
  <r>
    <x v="49"/>
    <x v="59"/>
    <x v="25"/>
    <n v="150"/>
    <x v="5"/>
    <s v="USA"/>
    <b v="1"/>
    <n v="0.7"/>
    <n v="0.75"/>
    <n v="0.6"/>
    <n v="0.02"/>
    <s v="Spotify All-Time Most Streamed Top 100"/>
  </r>
  <r>
    <x v="1"/>
    <x v="60"/>
    <x v="31"/>
    <n v="96"/>
    <x v="9"/>
    <s v="UK"/>
    <b v="0"/>
    <n v="0.6"/>
    <n v="0.56000000000000005"/>
    <n v="0.52"/>
    <n v="0.31"/>
    <s v="Spotify All-Time Most Streamed Top 100"/>
  </r>
  <r>
    <x v="43"/>
    <x v="61"/>
    <x v="32"/>
    <n v="102"/>
    <x v="17"/>
    <s v="Canada"/>
    <b v="0"/>
    <n v="0.62"/>
    <n v="0.38"/>
    <n v="0.55000000000000004"/>
    <n v="0.46"/>
    <s v="Spotify All-Time Most Streamed Top 100"/>
  </r>
  <r>
    <x v="50"/>
    <x v="62"/>
    <x v="2"/>
    <n v="130"/>
    <x v="2"/>
    <s v="USA"/>
    <b v="0"/>
    <n v="0.57999999999999996"/>
    <n v="0.69"/>
    <n v="0.3"/>
    <n v="0.05"/>
    <s v="Spotify All-Time Most Streamed Top 100"/>
  </r>
  <r>
    <x v="51"/>
    <x v="63"/>
    <x v="7"/>
    <n v="103"/>
    <x v="1"/>
    <s v="USA/UK"/>
    <b v="0"/>
    <n v="0.62"/>
    <n v="0.73"/>
    <n v="0.53"/>
    <n v="0.06"/>
    <s v="Spotify All-Time Most Streamed Top 100"/>
  </r>
  <r>
    <x v="41"/>
    <x v="64"/>
    <x v="28"/>
    <n v="144"/>
    <x v="5"/>
    <s v="USA"/>
    <b v="0"/>
    <n v="0.74"/>
    <n v="0.66"/>
    <n v="0.69"/>
    <n v="0.04"/>
    <s v="Spotify All-Time Most Streamed Top 100"/>
  </r>
  <r>
    <x v="52"/>
    <x v="65"/>
    <x v="6"/>
    <n v="98"/>
    <x v="3"/>
    <s v="USA"/>
    <b v="0"/>
    <n v="0.72"/>
    <n v="0.62"/>
    <n v="0.44"/>
    <n v="0.06"/>
    <s v="Spotify All-Time Most Streamed Top 100"/>
  </r>
  <r>
    <x v="1"/>
    <x v="66"/>
    <x v="33"/>
    <n v="79"/>
    <x v="9"/>
    <s v="UK"/>
    <b v="0"/>
    <n v="0.78"/>
    <n v="0.44"/>
    <n v="0.46"/>
    <n v="0.3"/>
    <s v="Spotify All-Time Most Streamed Top 100"/>
  </r>
  <r>
    <x v="20"/>
    <x v="67"/>
    <x v="16"/>
    <n v="72"/>
    <x v="8"/>
    <s v="USA"/>
    <b v="0"/>
    <n v="0.36"/>
    <n v="0.53"/>
    <n v="0.24"/>
    <n v="0.24"/>
    <s v="Spotify All-Time Most Streamed Top 100"/>
  </r>
  <r>
    <x v="53"/>
    <x v="68"/>
    <x v="9"/>
    <n v="98"/>
    <x v="6"/>
    <s v="USA"/>
    <b v="0"/>
    <n v="0.59"/>
    <n v="0.55000000000000004"/>
    <n v="0.86"/>
    <n v="0.28000000000000003"/>
    <s v="Spotify All-Time Most Streamed Top 100"/>
  </r>
  <r>
    <x v="54"/>
    <x v="69"/>
    <x v="2"/>
    <n v="84"/>
    <x v="3"/>
    <s v="Australia"/>
    <b v="0"/>
    <n v="0.64"/>
    <n v="0.44"/>
    <n v="0.55000000000000004"/>
    <n v="0.18"/>
    <s v="Spotify All-Time Most Streamed Top 100"/>
  </r>
  <r>
    <x v="55"/>
    <x v="70"/>
    <x v="25"/>
    <n v="144"/>
    <x v="4"/>
    <s v="USA"/>
    <b v="1"/>
    <n v="0.57999999999999996"/>
    <n v="0.85"/>
    <n v="0.68"/>
    <n v="0.02"/>
    <s v="Spotify All-Time Most Streamed Top 100"/>
  </r>
  <r>
    <x v="56"/>
    <x v="71"/>
    <x v="9"/>
    <n v="138"/>
    <x v="4"/>
    <s v="USA"/>
    <b v="0"/>
    <n v="0.76"/>
    <n v="0.8"/>
    <n v="0.96"/>
    <n v="0.06"/>
    <s v="Spotify All-Time Most Streamed Top 100"/>
  </r>
  <r>
    <x v="57"/>
    <x v="72"/>
    <x v="16"/>
    <n v="97"/>
    <x v="13"/>
    <s v="USA"/>
    <b v="0"/>
    <n v="0.46"/>
    <n v="0.68"/>
    <n v="0.46"/>
    <n v="7.0000000000000007E-2"/>
    <s v="Spotify All-Time Most Streamed Top 100"/>
  </r>
  <r>
    <x v="58"/>
    <x v="73"/>
    <x v="2"/>
    <n v="97"/>
    <x v="6"/>
    <s v="USA"/>
    <b v="0"/>
    <n v="0.62"/>
    <n v="0.62"/>
    <n v="0.44"/>
    <n v="0.14000000000000001"/>
    <s v="Spotify All-Time Most Streamed Top 100"/>
  </r>
  <r>
    <x v="59"/>
    <x v="74"/>
    <x v="2"/>
    <n v="107"/>
    <x v="5"/>
    <s v="NZ/USA"/>
    <b v="0"/>
    <n v="0.76"/>
    <n v="0.69"/>
    <n v="0.65"/>
    <n v="0.01"/>
    <s v="Spotify All-Time Most Streamed Top 100"/>
  </r>
  <r>
    <x v="60"/>
    <x v="75"/>
    <x v="34"/>
    <n v="145"/>
    <x v="13"/>
    <s v="South Korea"/>
    <b v="0"/>
    <n v="0.86"/>
    <n v="0.79"/>
    <n v="0.88"/>
    <n v="0.05"/>
    <s v="Spotify All-Time Most Streamed Top 100"/>
  </r>
  <r>
    <x v="61"/>
    <x v="76"/>
    <x v="5"/>
    <n v="64"/>
    <x v="18"/>
    <s v="USA"/>
    <b v="0"/>
    <n v="0.31"/>
    <n v="0.85"/>
    <n v="0.12"/>
    <n v="0"/>
    <s v="Spotify All-Time Most Streamed Top 100"/>
  </r>
  <r>
    <x v="62"/>
    <x v="77"/>
    <x v="5"/>
    <n v="77"/>
    <x v="19"/>
    <s v="USA"/>
    <b v="0"/>
    <n v="0.33"/>
    <n v="0.28000000000000003"/>
    <n v="0.14000000000000001"/>
    <n v="0.57999999999999996"/>
    <s v="Spotify All-Time Most Streamed Top 100"/>
  </r>
  <r>
    <x v="63"/>
    <x v="78"/>
    <x v="6"/>
    <n v="145"/>
    <x v="0"/>
    <s v="Australia"/>
    <b v="0"/>
    <n v="0.72"/>
    <n v="0.79"/>
    <n v="0.38"/>
    <n v="0.04"/>
    <s v="Spotify All-Time Most Streamed Top 100"/>
  </r>
  <r>
    <x v="64"/>
    <x v="79"/>
    <x v="35"/>
    <n v="106"/>
    <x v="13"/>
    <s v="USA"/>
    <b v="0"/>
    <n v="0.72"/>
    <n v="0.65"/>
    <n v="0.72"/>
    <n v="0.14000000000000001"/>
    <s v="Spotify All-Time Most Streamed Top 100"/>
  </r>
  <r>
    <x v="65"/>
    <x v="80"/>
    <x v="36"/>
    <n v="90"/>
    <x v="7"/>
    <s v="USA"/>
    <b v="0"/>
    <n v="0.6"/>
    <n v="0.55000000000000004"/>
    <n v="0.64"/>
    <n v="0.21"/>
    <s v="Spotify All-Time Most Streamed Top 100"/>
  </r>
  <r>
    <x v="66"/>
    <x v="81"/>
    <x v="29"/>
    <n v="86"/>
    <x v="13"/>
    <s v="Ireland"/>
    <b v="0"/>
    <n v="0.62"/>
    <n v="0.48"/>
    <n v="0.68"/>
    <n v="0.42"/>
    <s v="Spotify All-Time Most Streamed Top 100"/>
  </r>
  <r>
    <x v="11"/>
    <x v="82"/>
    <x v="37"/>
    <n v="90"/>
    <x v="1"/>
    <s v="UK"/>
    <b v="0"/>
    <n v="0.3"/>
    <n v="0.53"/>
    <n v="0.1"/>
    <n v="0.2"/>
    <s v="Spotify All-Time Most Streamed Top 100"/>
  </r>
  <r>
    <x v="11"/>
    <x v="83"/>
    <x v="9"/>
    <n v="108"/>
    <x v="0"/>
    <s v="UK"/>
    <b v="0"/>
    <n v="0.56000000000000005"/>
    <n v="0.76"/>
    <n v="0.66"/>
    <n v="0.04"/>
    <s v="Spotify All-Time Most Streamed Top 100"/>
  </r>
  <r>
    <x v="67"/>
    <x v="84"/>
    <x v="9"/>
    <n v="86"/>
    <x v="0"/>
    <s v="Netherlands"/>
    <b v="0"/>
    <n v="0.34"/>
    <n v="0.3"/>
    <n v="0.1"/>
    <n v="0.52"/>
    <s v="Spotify All-Time Most Streamed Top 100"/>
  </r>
  <r>
    <x v="68"/>
    <x v="85"/>
    <x v="3"/>
    <n v="80"/>
    <x v="17"/>
    <s v="USA"/>
    <b v="0"/>
    <n v="0.53"/>
    <n v="0.37"/>
    <n v="0.48"/>
    <n v="0.42"/>
    <s v="Spotify All-Time Most Streamed Top 100"/>
  </r>
  <r>
    <x v="69"/>
    <x v="86"/>
    <x v="2"/>
    <n v="107"/>
    <x v="1"/>
    <s v="USA"/>
    <b v="1"/>
    <n v="0.78"/>
    <n v="0.68"/>
    <n v="0.6"/>
    <n v="0.06"/>
    <s v="Spotify All-Time Most Streamed Top 100"/>
  </r>
  <r>
    <x v="57"/>
    <x v="79"/>
    <x v="2"/>
    <n v="80"/>
    <x v="7"/>
    <s v="USA"/>
    <b v="0"/>
    <n v="0.51"/>
    <n v="0.44"/>
    <n v="0.42"/>
    <n v="0.28000000000000003"/>
    <s v="Spotify All-Time Most Streamed Top 100"/>
  </r>
  <r>
    <x v="70"/>
    <x v="87"/>
    <x v="38"/>
    <n v="115"/>
    <x v="4"/>
    <s v="USA"/>
    <b v="0"/>
    <n v="0.78"/>
    <n v="0.66"/>
    <n v="0.8"/>
    <n v="0.02"/>
    <s v="Spotify All-Time Most Streamed Top 100"/>
  </r>
  <r>
    <x v="71"/>
    <x v="50"/>
    <x v="20"/>
    <n v="139"/>
    <x v="6"/>
    <s v="USA"/>
    <b v="0"/>
    <n v="0.52"/>
    <n v="0.64"/>
    <n v="0.44"/>
    <n v="0.1"/>
    <s v="Spotify All-Time Most Streamed Top 100"/>
  </r>
  <r>
    <x v="72"/>
    <x v="88"/>
    <x v="9"/>
    <n v="104"/>
    <x v="8"/>
    <s v="New Zealand"/>
    <b v="0"/>
    <n v="0.38"/>
    <n v="0.44"/>
    <n v="0.22"/>
    <n v="0.3"/>
    <s v="Spotify All-Time Most Streamed Top 100"/>
  </r>
  <r>
    <x v="73"/>
    <x v="89"/>
    <x v="16"/>
    <n v="139"/>
    <x v="20"/>
    <s v="Germany"/>
    <b v="0"/>
    <n v="0.74"/>
    <n v="0.76"/>
    <n v="0.86"/>
    <n v="0.38"/>
    <s v="Spotify All-Time Most Streamed Top 100"/>
  </r>
  <r>
    <x v="74"/>
    <x v="53"/>
    <x v="5"/>
    <n v="154"/>
    <x v="21"/>
    <s v="UK"/>
    <b v="0"/>
    <n v="0.44"/>
    <n v="0.82"/>
    <n v="0.44"/>
    <n v="0.04"/>
    <s v="Spotify All-Time Most Streamed Top 100"/>
  </r>
  <r>
    <x v="75"/>
    <x v="90"/>
    <x v="2"/>
    <n v="90"/>
    <x v="7"/>
    <s v="Netherlands"/>
    <b v="0"/>
    <n v="0.66"/>
    <n v="0.54"/>
    <n v="0.76"/>
    <n v="0.22"/>
    <s v="Spotify All-Time Most Streamed Top 100"/>
  </r>
  <r>
    <x v="76"/>
    <x v="91"/>
    <x v="7"/>
    <n v="143"/>
    <x v="2"/>
    <s v="UK"/>
    <b v="0"/>
    <n v="0.76"/>
    <n v="0.88"/>
    <n v="0.72"/>
    <n v="0"/>
    <s v="Spotify All-Time Most Streamed Top 100"/>
  </r>
  <r>
    <x v="77"/>
    <x v="86"/>
    <x v="0"/>
    <n v="171"/>
    <x v="5"/>
    <s v="Canada/Spain"/>
    <b v="0"/>
    <n v="0.54"/>
    <n v="0.8"/>
    <n v="0.36"/>
    <n v="0.01"/>
    <s v="Spotify All-Time Most Streamed Top 100"/>
  </r>
  <r>
    <x v="78"/>
    <x v="92"/>
    <x v="9"/>
    <n v="150"/>
    <x v="2"/>
    <s v="USA"/>
    <b v="0"/>
    <n v="0.64"/>
    <n v="0.42"/>
    <n v="0.72"/>
    <n v="0.38"/>
    <s v="Spotify All-Time Most Streamed Top 100"/>
  </r>
  <r>
    <x v="79"/>
    <x v="93"/>
    <x v="6"/>
    <n v="142"/>
    <x v="5"/>
    <s v="Canada"/>
    <b v="1"/>
    <n v="0.82"/>
    <n v="0.62"/>
    <n v="0.55000000000000004"/>
    <n v="0.02"/>
    <s v="Spotify All-Time Most Streamed Top 100"/>
  </r>
  <r>
    <x v="25"/>
    <x v="50"/>
    <x v="2"/>
    <n v="160"/>
    <x v="9"/>
    <s v="USA"/>
    <b v="0"/>
    <n v="0.65"/>
    <n v="0.8"/>
    <n v="0.94"/>
    <n v="0.06"/>
    <s v="Spotify All-Time Most Streamed Top 1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1"/>
    <s v="Blinding Lights"/>
    <x v="0"/>
    <n v="5.26"/>
    <x v="0"/>
    <n v="171"/>
    <n v="2019"/>
    <x v="0"/>
    <x v="0"/>
    <n v="0.51"/>
    <n v="0.8"/>
    <n v="0.33"/>
    <n v="0"/>
    <s v="Spotify All-Time Most Streamed Top 100"/>
  </r>
  <r>
    <n v="2"/>
    <s v="Shape of You"/>
    <x v="1"/>
    <n v="4.9000000000000004"/>
    <x v="1"/>
    <n v="96"/>
    <n v="2017"/>
    <x v="1"/>
    <x v="0"/>
    <n v="0.83"/>
    <n v="0.65"/>
    <n v="0.93"/>
    <n v="0.08"/>
    <s v="Spotify All-Time Most Streamed Top 100"/>
  </r>
  <r>
    <n v="3"/>
    <s v="Someone You Loved"/>
    <x v="2"/>
    <n v="4.05"/>
    <x v="2"/>
    <n v="77"/>
    <n v="2018"/>
    <x v="1"/>
    <x v="0"/>
    <n v="0.6"/>
    <n v="0.45"/>
    <n v="0.42"/>
    <n v="0.28999999999999998"/>
    <s v="Spotify All-Time Most Streamed Top 100"/>
  </r>
  <r>
    <n v="4"/>
    <s v="Sunflower"/>
    <x v="3"/>
    <n v="3.98"/>
    <x v="3"/>
    <n v="93"/>
    <n v="2018"/>
    <x v="2"/>
    <x v="0"/>
    <n v="0.76"/>
    <n v="0.49"/>
    <n v="0.84"/>
    <n v="0.15"/>
    <s v="Spotify All-Time Most Streamed Top 100"/>
  </r>
  <r>
    <n v="5"/>
    <s v="One Dance"/>
    <x v="4"/>
    <n v="3.92"/>
    <x v="4"/>
    <n v="100"/>
    <n v="2016"/>
    <x v="0"/>
    <x v="0"/>
    <n v="0.79"/>
    <n v="0.62"/>
    <n v="0.68"/>
    <n v="0.09"/>
    <s v="Spotify All-Time Most Streamed Top 100"/>
  </r>
  <r>
    <n v="6"/>
    <s v="Stay"/>
    <x v="5"/>
    <n v="3.87"/>
    <x v="2"/>
    <n v="170"/>
    <n v="2021"/>
    <x v="3"/>
    <x v="1"/>
    <n v="0.59"/>
    <n v="0.8"/>
    <n v="0.6"/>
    <n v="0"/>
    <s v="Spotify All-Time Most Streamed Top 100"/>
  </r>
  <r>
    <n v="7"/>
    <s v="Believer"/>
    <x v="6"/>
    <n v="3.76"/>
    <x v="5"/>
    <n v="125"/>
    <n v="2017"/>
    <x v="2"/>
    <x v="0"/>
    <n v="0.33"/>
    <n v="0.86"/>
    <n v="0.45"/>
    <n v="7.0000000000000007E-2"/>
    <s v="Spotify All-Time Most Streamed Top 100"/>
  </r>
  <r>
    <n v="8"/>
    <s v="Rockstar"/>
    <x v="7"/>
    <n v="3.72"/>
    <x v="6"/>
    <n v="159"/>
    <n v="2017"/>
    <x v="2"/>
    <x v="1"/>
    <n v="0.55000000000000004"/>
    <n v="0.52"/>
    <n v="0.13"/>
    <n v="0.08"/>
    <s v="Spotify All-Time Most Streamed Top 100"/>
  </r>
  <r>
    <n v="9"/>
    <s v="Dance Monkey"/>
    <x v="8"/>
    <n v="3.69"/>
    <x v="2"/>
    <n v="98"/>
    <n v="2019"/>
    <x v="3"/>
    <x v="0"/>
    <n v="0.83"/>
    <n v="0.63"/>
    <n v="0.73"/>
    <n v="0.14000000000000001"/>
    <s v="Spotify All-Time Most Streamed Top 100"/>
  </r>
  <r>
    <n v="10"/>
    <s v="Happier"/>
    <x v="9"/>
    <n v="3.65"/>
    <x v="7"/>
    <n v="100"/>
    <n v="2018"/>
    <x v="4"/>
    <x v="0"/>
    <n v="0.62"/>
    <n v="0.82"/>
    <n v="0.96"/>
    <n v="0.02"/>
    <s v="Spotify All-Time Most Streamed Top 100"/>
  </r>
  <r>
    <n v="11"/>
    <s v="Senorita"/>
    <x v="10"/>
    <n v="3.62"/>
    <x v="8"/>
    <n v="117"/>
    <n v="2019"/>
    <x v="5"/>
    <x v="0"/>
    <n v="0.75"/>
    <n v="0.74"/>
    <n v="0.75"/>
    <n v="0.14000000000000001"/>
    <s v="Spotify All-Time Most Streamed Top 100"/>
  </r>
  <r>
    <n v="12"/>
    <s v="Watermelon Sugar"/>
    <x v="11"/>
    <n v="3.58"/>
    <x v="9"/>
    <n v="95"/>
    <n v="2019"/>
    <x v="1"/>
    <x v="0"/>
    <n v="0.55000000000000004"/>
    <n v="0.82"/>
    <n v="0.74"/>
    <n v="0.12"/>
    <s v="Spotify All-Time Most Streamed Top 100"/>
  </r>
  <r>
    <n v="13"/>
    <s v="Perfect"/>
    <x v="1"/>
    <n v="3.55"/>
    <x v="10"/>
    <n v="95"/>
    <n v="2017"/>
    <x v="1"/>
    <x v="0"/>
    <n v="0.66"/>
    <n v="0.43"/>
    <n v="0.41"/>
    <n v="0.37"/>
    <s v="Spotify All-Time Most Streamed Top 100"/>
  </r>
  <r>
    <n v="14"/>
    <s v="Levitating"/>
    <x v="12"/>
    <n v="3.52"/>
    <x v="11"/>
    <n v="103"/>
    <n v="2020"/>
    <x v="1"/>
    <x v="0"/>
    <n v="0.7"/>
    <n v="0.82"/>
    <n v="0.91"/>
    <n v="0"/>
    <s v="Spotify All-Time Most Streamed Top 100"/>
  </r>
  <r>
    <n v="15"/>
    <s v="Heat Waves"/>
    <x v="13"/>
    <n v="3.4"/>
    <x v="9"/>
    <n v="80"/>
    <n v="2020"/>
    <x v="1"/>
    <x v="0"/>
    <n v="0.51"/>
    <n v="0.54"/>
    <n v="0.57999999999999996"/>
    <n v="0.22"/>
    <s v="Spotify All-Time Most Streamed Top 100"/>
  </r>
  <r>
    <n v="16"/>
    <s v="Bad Guy"/>
    <x v="14"/>
    <n v="3.37"/>
    <x v="12"/>
    <n v="135"/>
    <n v="2019"/>
    <x v="2"/>
    <x v="0"/>
    <n v="0.7"/>
    <n v="0.43"/>
    <n v="0.56000000000000005"/>
    <n v="0"/>
    <s v="Spotify All-Time Most Streamed Top 100"/>
  </r>
  <r>
    <n v="17"/>
    <s v="Drivers License"/>
    <x v="15"/>
    <n v="3.34"/>
    <x v="2"/>
    <n v="73"/>
    <n v="2021"/>
    <x v="2"/>
    <x v="0"/>
    <n v="0.59"/>
    <n v="0.43"/>
    <n v="0.13"/>
    <n v="0.28000000000000003"/>
    <s v="Spotify All-Time Most Streamed Top 100"/>
  </r>
  <r>
    <n v="18"/>
    <s v="Circles"/>
    <x v="16"/>
    <n v="3.31"/>
    <x v="13"/>
    <n v="121"/>
    <n v="2019"/>
    <x v="2"/>
    <x v="0"/>
    <n v="0.69"/>
    <n v="0.55000000000000004"/>
    <n v="0.72"/>
    <n v="0.09"/>
    <s v="Spotify All-Time Most Streamed Top 100"/>
  </r>
  <r>
    <n v="19"/>
    <s v="Memories"/>
    <x v="17"/>
    <n v="3.28"/>
    <x v="2"/>
    <n v="91"/>
    <n v="2019"/>
    <x v="2"/>
    <x v="0"/>
    <n v="0.76"/>
    <n v="0.36"/>
    <n v="0.7"/>
    <n v="0.52"/>
    <s v="Spotify All-Time Most Streamed Top 100"/>
  </r>
  <r>
    <n v="20"/>
    <s v="Shallow"/>
    <x v="18"/>
    <n v="3.25"/>
    <x v="14"/>
    <n v="96"/>
    <n v="2018"/>
    <x v="2"/>
    <x v="0"/>
    <n v="0.59"/>
    <n v="0.55000000000000004"/>
    <n v="0.37"/>
    <n v="0.22"/>
    <s v="Spotify All-Time Most Streamed Top 100"/>
  </r>
  <r>
    <n v="21"/>
    <s v="As It Was"/>
    <x v="11"/>
    <n v="3.22"/>
    <x v="9"/>
    <n v="174"/>
    <n v="2022"/>
    <x v="1"/>
    <x v="0"/>
    <n v="0.52"/>
    <n v="0.73"/>
    <n v="0.36"/>
    <n v="0"/>
    <s v="Spotify All-Time Most Streamed Top 100"/>
  </r>
  <r>
    <n v="22"/>
    <s v="Dynamite"/>
    <x v="19"/>
    <n v="3.19"/>
    <x v="15"/>
    <n v="114"/>
    <n v="2020"/>
    <x v="6"/>
    <x v="0"/>
    <n v="0.74"/>
    <n v="0.77"/>
    <n v="0.74"/>
    <n v="0.01"/>
    <s v="Spotify All-Time Most Streamed Top 100"/>
  </r>
  <r>
    <n v="23"/>
    <s v="Flowers"/>
    <x v="20"/>
    <n v="3.16"/>
    <x v="2"/>
    <n v="118"/>
    <n v="2023"/>
    <x v="2"/>
    <x v="0"/>
    <n v="0.74"/>
    <n v="0.74"/>
    <n v="0.88"/>
    <n v="0.1"/>
    <s v="Spotify All-Time Most Streamed Top 100"/>
  </r>
  <r>
    <n v="24"/>
    <s v="Counting Stars"/>
    <x v="21"/>
    <n v="3.14"/>
    <x v="16"/>
    <n v="122"/>
    <n v="2013"/>
    <x v="2"/>
    <x v="0"/>
    <n v="0.62"/>
    <n v="0.8"/>
    <n v="0.57999999999999996"/>
    <n v="0.12"/>
    <s v="Spotify All-Time Most Streamed Top 100"/>
  </r>
  <r>
    <n v="25"/>
    <s v="Lucid Dreams"/>
    <x v="22"/>
    <n v="3.11"/>
    <x v="17"/>
    <n v="84"/>
    <n v="2018"/>
    <x v="2"/>
    <x v="1"/>
    <n v="0.51"/>
    <n v="0.49"/>
    <n v="0.22"/>
    <n v="7.0000000000000007E-2"/>
    <s v="Spotify All-Time Most Streamed Top 100"/>
  </r>
  <r>
    <n v="26"/>
    <s v="Closer"/>
    <x v="23"/>
    <n v="3.08"/>
    <x v="7"/>
    <n v="95"/>
    <n v="2016"/>
    <x v="2"/>
    <x v="1"/>
    <n v="0.74"/>
    <n v="0.65"/>
    <n v="0.77"/>
    <n v="0.04"/>
    <s v="Spotify All-Time Most Streamed Top 100"/>
  </r>
  <r>
    <n v="27"/>
    <s v="Calm Down"/>
    <x v="24"/>
    <n v="3.02"/>
    <x v="4"/>
    <n v="106"/>
    <n v="2022"/>
    <x v="7"/>
    <x v="0"/>
    <n v="0.8"/>
    <n v="0.72"/>
    <n v="0.78"/>
    <n v="0.08"/>
    <s v="Spotify All-Time Most Streamed Top 100"/>
  </r>
  <r>
    <n v="28"/>
    <s v="Anti-Hero"/>
    <x v="25"/>
    <n v="2.99"/>
    <x v="9"/>
    <n v="97"/>
    <n v="2022"/>
    <x v="2"/>
    <x v="0"/>
    <n v="0.64"/>
    <n v="0.57999999999999996"/>
    <n v="0.47"/>
    <n v="0.1"/>
    <s v="Spotify All-Time Most Streamed Top 100"/>
  </r>
  <r>
    <n v="29"/>
    <s v="Save Your Tears"/>
    <x v="0"/>
    <n v="2.88"/>
    <x v="0"/>
    <n v="118"/>
    <n v="2020"/>
    <x v="0"/>
    <x v="0"/>
    <n v="0.68"/>
    <n v="0.82"/>
    <n v="0.78"/>
    <n v="0.01"/>
    <s v="Spotify All-Time Most Streamed Top 100"/>
  </r>
  <r>
    <n v="30"/>
    <s v="Die For You"/>
    <x v="0"/>
    <n v="2.86"/>
    <x v="18"/>
    <n v="95"/>
    <n v="2016"/>
    <x v="0"/>
    <x v="0"/>
    <n v="0.4"/>
    <n v="0.55000000000000004"/>
    <n v="0.32"/>
    <n v="0.04"/>
    <s v="Spotify All-Time Most Streamed Top 100"/>
  </r>
  <r>
    <n v="31"/>
    <s v="Lovely"/>
    <x v="26"/>
    <n v="2.84"/>
    <x v="9"/>
    <n v="95"/>
    <n v="2018"/>
    <x v="2"/>
    <x v="0"/>
    <n v="0.35"/>
    <n v="0.3"/>
    <n v="0.08"/>
    <n v="0.5"/>
    <s v="Spotify All-Time Most Streamed Top 100"/>
  </r>
  <r>
    <n v="32"/>
    <s v="Uptown Funk"/>
    <x v="27"/>
    <n v="2.5299999999999998"/>
    <x v="19"/>
    <n v="115"/>
    <n v="2014"/>
    <x v="2"/>
    <x v="0"/>
    <n v="0.9"/>
    <n v="0.96"/>
    <n v="0.82"/>
    <n v="0.02"/>
    <s v="Spotify All-Time Most Streamed Top 100"/>
  </r>
  <r>
    <n v="33"/>
    <s v="Sweater Weather"/>
    <x v="28"/>
    <n v="2.4700000000000002"/>
    <x v="20"/>
    <n v="124"/>
    <n v="2013"/>
    <x v="2"/>
    <x v="0"/>
    <n v="0.59"/>
    <n v="0.64"/>
    <n v="0.5"/>
    <n v="0.26"/>
    <s v="Spotify All-Time Most Streamed Top 100"/>
  </r>
  <r>
    <n v="34"/>
    <s v="Cruel Summer"/>
    <x v="25"/>
    <n v="2.72"/>
    <x v="0"/>
    <n v="170"/>
    <n v="2019"/>
    <x v="2"/>
    <x v="0"/>
    <n v="0.55000000000000004"/>
    <n v="0.7"/>
    <n v="0.56999999999999995"/>
    <n v="0.12"/>
    <s v="Spotify All-Time Most Streamed Top 100"/>
  </r>
  <r>
    <n v="35"/>
    <s v="Despacito"/>
    <x v="29"/>
    <n v="2.15"/>
    <x v="21"/>
    <n v="178"/>
    <n v="2017"/>
    <x v="8"/>
    <x v="0"/>
    <n v="0.69"/>
    <n v="0.81"/>
    <n v="0.81"/>
    <n v="0.22"/>
    <s v="Spotify All-Time Most Streamed Top 100"/>
  </r>
  <r>
    <n v="36"/>
    <s v="Havana"/>
    <x v="30"/>
    <n v="2.13"/>
    <x v="8"/>
    <n v="105"/>
    <n v="2017"/>
    <x v="9"/>
    <x v="0"/>
    <n v="0.76"/>
    <n v="0.57999999999999996"/>
    <n v="0.61"/>
    <n v="0.14000000000000001"/>
    <s v="Spotify All-Time Most Streamed Top 100"/>
  </r>
  <r>
    <n v="37"/>
    <s v="Easy On Me"/>
    <x v="31"/>
    <n v="2.02"/>
    <x v="22"/>
    <n v="62"/>
    <n v="2021"/>
    <x v="1"/>
    <x v="0"/>
    <n v="0.34"/>
    <n v="0.26"/>
    <n v="0.17"/>
    <n v="0.76"/>
    <s v="Spotify All-Time Most Streamed Top 100"/>
  </r>
  <r>
    <n v="38"/>
    <s v="Lose Yourself"/>
    <x v="32"/>
    <n v="1.95"/>
    <x v="6"/>
    <n v="171"/>
    <n v="2002"/>
    <x v="2"/>
    <x v="1"/>
    <n v="0.66"/>
    <n v="0.62"/>
    <n v="0.26"/>
    <n v="0"/>
    <s v="Spotify All-Time Most Streamed Top 100"/>
  </r>
  <r>
    <n v="39"/>
    <s v="Numb"/>
    <x v="33"/>
    <n v="1.82"/>
    <x v="5"/>
    <n v="118"/>
    <n v="2003"/>
    <x v="2"/>
    <x v="0"/>
    <n v="0.46"/>
    <n v="0.9"/>
    <n v="0.15"/>
    <n v="0.02"/>
    <s v="Spotify All-Time Most Streamed Top 100"/>
  </r>
  <r>
    <n v="40"/>
    <s v="Smells Like Teen Spirit"/>
    <x v="34"/>
    <n v="1.8"/>
    <x v="23"/>
    <n v="117"/>
    <n v="1991"/>
    <x v="2"/>
    <x v="0"/>
    <n v="0.5"/>
    <n v="0.9"/>
    <n v="0.44"/>
    <n v="0"/>
    <s v="Spotify All-Time Most Streamed Top 100"/>
  </r>
  <r>
    <n v="41"/>
    <s v="Espresso"/>
    <x v="35"/>
    <n v="1.76"/>
    <x v="2"/>
    <n v="104"/>
    <n v="2024"/>
    <x v="2"/>
    <x v="0"/>
    <n v="0.8"/>
    <n v="0.73"/>
    <n v="0.96"/>
    <n v="0.06"/>
    <s v="Spotify All-Time Most Streamed Top 100"/>
  </r>
  <r>
    <n v="42"/>
    <s v="Radioactive"/>
    <x v="6"/>
    <n v="1.74"/>
    <x v="5"/>
    <n v="136"/>
    <n v="2012"/>
    <x v="2"/>
    <x v="0"/>
    <n v="0.38"/>
    <n v="0.76"/>
    <n v="0.23"/>
    <n v="0.1"/>
    <s v="Spotify All-Time Most Streamed Top 100"/>
  </r>
  <r>
    <n v="43"/>
    <s v="Running Up That Hill"/>
    <x v="36"/>
    <n v="1.52"/>
    <x v="24"/>
    <n v="112"/>
    <n v="1985"/>
    <x v="1"/>
    <x v="0"/>
    <n v="0.41"/>
    <n v="0.68"/>
    <n v="0.25"/>
    <n v="0.08"/>
    <s v="Spotify All-Time Most Streamed Top 100"/>
  </r>
  <r>
    <n v="44"/>
    <s v="Not Like Us"/>
    <x v="37"/>
    <n v="1.5"/>
    <x v="6"/>
    <n v="101"/>
    <n v="2024"/>
    <x v="2"/>
    <x v="1"/>
    <n v="0.82"/>
    <n v="0.72"/>
    <n v="0.62"/>
    <n v="0.04"/>
    <s v="Spotify All-Time Most Streamed Top 100"/>
  </r>
  <r>
    <n v="45"/>
    <s v="good 4 u"/>
    <x v="15"/>
    <n v="1.48"/>
    <x v="25"/>
    <n v="166"/>
    <n v="2021"/>
    <x v="2"/>
    <x v="0"/>
    <n v="0.56000000000000005"/>
    <n v="0.9"/>
    <n v="0.65"/>
    <n v="0"/>
    <s v="Spotify All-Time Most Streamed Top 100"/>
  </r>
  <r>
    <n v="46"/>
    <s v="All I Want for Christmas Is You"/>
    <x v="38"/>
    <n v="2.76"/>
    <x v="26"/>
    <n v="150"/>
    <n v="1994"/>
    <x v="2"/>
    <x v="0"/>
    <n v="0.42"/>
    <n v="0.66"/>
    <n v="0.78"/>
    <n v="0.32"/>
    <s v="Spotify All-Time Most Streamed Top 100"/>
  </r>
  <r>
    <n v="47"/>
    <s v="Starboy"/>
    <x v="39"/>
    <n v="2.62"/>
    <x v="0"/>
    <n v="186"/>
    <n v="2016"/>
    <x v="0"/>
    <x v="1"/>
    <n v="0.68"/>
    <n v="0.79"/>
    <n v="0.5"/>
    <n v="0"/>
    <s v="Spotify All-Time Most Streamed Top 100"/>
  </r>
  <r>
    <n v="48"/>
    <s v="goosebumps"/>
    <x v="40"/>
    <n v="2.59"/>
    <x v="6"/>
    <n v="130"/>
    <n v="2016"/>
    <x v="2"/>
    <x v="1"/>
    <n v="0.62"/>
    <n v="0.68"/>
    <n v="0.39"/>
    <n v="0.06"/>
    <s v="Spotify All-Time Most Streamed Top 100"/>
  </r>
  <r>
    <n v="49"/>
    <s v="7 rings"/>
    <x v="41"/>
    <n v="2.56"/>
    <x v="27"/>
    <n v="140"/>
    <n v="2019"/>
    <x v="2"/>
    <x v="1"/>
    <n v="0.64"/>
    <n v="0.61"/>
    <n v="0.49"/>
    <n v="0.02"/>
    <s v="Spotify All-Time Most Streamed Top 100"/>
  </r>
  <r>
    <n v="50"/>
    <s v="Die With A Smile"/>
    <x v="42"/>
    <n v="1.84"/>
    <x v="2"/>
    <n v="120"/>
    <n v="2024"/>
    <x v="2"/>
    <x v="0"/>
    <n v="0.72"/>
    <n v="0.68"/>
    <n v="0.55000000000000004"/>
    <n v="0.18"/>
    <s v="Spotify All-Time Most Streamed Top 100"/>
  </r>
  <r>
    <n v="51"/>
    <s v="Peaches"/>
    <x v="43"/>
    <n v="1.6"/>
    <x v="28"/>
    <n v="90"/>
    <n v="2021"/>
    <x v="0"/>
    <x v="0"/>
    <n v="0.68"/>
    <n v="0.52"/>
    <n v="0.69"/>
    <n v="0.16"/>
    <s v="Spotify All-Time Most Streamed Top 100"/>
  </r>
  <r>
    <n v="52"/>
    <s v="Falling"/>
    <x v="11"/>
    <n v="2.4"/>
    <x v="16"/>
    <n v="88"/>
    <n v="2019"/>
    <x v="1"/>
    <x v="0"/>
    <n v="0.43"/>
    <n v="0.43"/>
    <n v="7.0000000000000007E-2"/>
    <n v="0.38"/>
    <s v="Spotify All-Time Most Streamed Top 100"/>
  </r>
  <r>
    <n v="53"/>
    <s v="Thunder"/>
    <x v="6"/>
    <n v="3.49"/>
    <x v="5"/>
    <n v="168"/>
    <n v="2017"/>
    <x v="2"/>
    <x v="0"/>
    <n v="0.6"/>
    <n v="0.52"/>
    <n v="0.55000000000000004"/>
    <n v="0.01"/>
    <s v="Spotify All-Time Most Streamed Top 100"/>
  </r>
  <r>
    <n v="54"/>
    <s v="Bad Habits"/>
    <x v="1"/>
    <n v="1.62"/>
    <x v="0"/>
    <n v="126"/>
    <n v="2021"/>
    <x v="1"/>
    <x v="0"/>
    <n v="0.68"/>
    <n v="0.83"/>
    <n v="0.72"/>
    <n v="0"/>
    <s v="Spotify All-Time Most Streamed Top 100"/>
  </r>
  <r>
    <n v="55"/>
    <s v="Butter"/>
    <x v="19"/>
    <n v="1.6"/>
    <x v="19"/>
    <n v="110"/>
    <n v="2021"/>
    <x v="6"/>
    <x v="0"/>
    <n v="0.79"/>
    <n v="0.73"/>
    <n v="0.74"/>
    <n v="0.01"/>
    <s v="Spotify All-Time Most Streamed Top 100"/>
  </r>
  <r>
    <n v="56"/>
    <s v="Night Changes"/>
    <x v="44"/>
    <n v="2.34"/>
    <x v="2"/>
    <n v="82"/>
    <n v="2014"/>
    <x v="1"/>
    <x v="0"/>
    <n v="0.56000000000000005"/>
    <n v="0.54"/>
    <n v="0.72"/>
    <n v="0.3"/>
    <s v="Spotify All-Time Most Streamed Top 100"/>
  </r>
  <r>
    <n v="57"/>
    <s v="High Hopes"/>
    <x v="45"/>
    <n v="2.3199999999999998"/>
    <x v="16"/>
    <n v="191"/>
    <n v="2018"/>
    <x v="2"/>
    <x v="0"/>
    <n v="0.66"/>
    <n v="0.83"/>
    <n v="0.84"/>
    <n v="0.04"/>
    <s v="Spotify All-Time Most Streamed Top 100"/>
  </r>
  <r>
    <n v="58"/>
    <s v="Riptide"/>
    <x v="46"/>
    <n v="2.5"/>
    <x v="29"/>
    <n v="131"/>
    <n v="2013"/>
    <x v="3"/>
    <x v="0"/>
    <n v="0.66"/>
    <n v="0.55000000000000004"/>
    <n v="0.82"/>
    <n v="0.5"/>
    <s v="Spotify All-Time Most Streamed Top 100"/>
  </r>
  <r>
    <n v="59"/>
    <s v="Way Down We Go"/>
    <x v="47"/>
    <n v="2.29"/>
    <x v="30"/>
    <n v="78"/>
    <n v="2016"/>
    <x v="10"/>
    <x v="0"/>
    <n v="0.46"/>
    <n v="0.48"/>
    <n v="0.28000000000000003"/>
    <n v="0.26"/>
    <s v="Spotify All-Time Most Streamed Top 100"/>
  </r>
  <r>
    <n v="60"/>
    <s v="Heather"/>
    <x v="48"/>
    <n v="2.2599999999999998"/>
    <x v="9"/>
    <n v="86"/>
    <n v="2020"/>
    <x v="2"/>
    <x v="0"/>
    <n v="0.44"/>
    <n v="0.3"/>
    <n v="0.3"/>
    <n v="0.54"/>
    <s v="Spotify All-Time Most Streamed Top 100"/>
  </r>
  <r>
    <n v="61"/>
    <s v="Mood"/>
    <x v="49"/>
    <n v="2.2000000000000002"/>
    <x v="25"/>
    <n v="150"/>
    <n v="2020"/>
    <x v="2"/>
    <x v="1"/>
    <n v="0.7"/>
    <n v="0.75"/>
    <n v="0.6"/>
    <n v="0.02"/>
    <s v="Spotify All-Time Most Streamed Top 100"/>
  </r>
  <r>
    <n v="62"/>
    <s v="Photograph"/>
    <x v="1"/>
    <n v="3.45"/>
    <x v="31"/>
    <n v="96"/>
    <n v="2014"/>
    <x v="1"/>
    <x v="0"/>
    <n v="0.6"/>
    <n v="0.56000000000000005"/>
    <n v="0.52"/>
    <n v="0.31"/>
    <s v="Spotify All-Time Most Streamed Top 100"/>
  </r>
  <r>
    <n v="63"/>
    <s v="Love Yourself"/>
    <x v="43"/>
    <n v="2.93"/>
    <x v="32"/>
    <n v="102"/>
    <n v="2015"/>
    <x v="0"/>
    <x v="0"/>
    <n v="0.62"/>
    <n v="0.38"/>
    <n v="0.55000000000000004"/>
    <n v="0.46"/>
    <s v="Spotify All-Time Most Streamed Top 100"/>
  </r>
  <r>
    <n v="64"/>
    <s v="Without Me"/>
    <x v="50"/>
    <n v="2.82"/>
    <x v="2"/>
    <n v="130"/>
    <n v="2018"/>
    <x v="2"/>
    <x v="0"/>
    <n v="0.57999999999999996"/>
    <n v="0.69"/>
    <n v="0.3"/>
    <n v="0.05"/>
    <s v="Spotify All-Time Most Streamed Top 100"/>
  </r>
  <r>
    <n v="65"/>
    <s v="Something Just Like This"/>
    <x v="51"/>
    <n v="2.9"/>
    <x v="7"/>
    <n v="103"/>
    <n v="2017"/>
    <x v="4"/>
    <x v="0"/>
    <n v="0.62"/>
    <n v="0.73"/>
    <n v="0.53"/>
    <n v="0.06"/>
    <s v="Spotify All-Time Most Streamed Top 100"/>
  </r>
  <r>
    <n v="66"/>
    <s v="Positions"/>
    <x v="41"/>
    <n v="2.65"/>
    <x v="28"/>
    <n v="144"/>
    <n v="2020"/>
    <x v="2"/>
    <x v="0"/>
    <n v="0.74"/>
    <n v="0.66"/>
    <n v="0.69"/>
    <n v="0.04"/>
    <s v="Spotify All-Time Most Streamed Top 100"/>
  </r>
  <r>
    <n v="67"/>
    <s v="Roses"/>
    <x v="52"/>
    <n v="3.42"/>
    <x v="6"/>
    <n v="98"/>
    <n v="2016"/>
    <x v="2"/>
    <x v="0"/>
    <n v="0.72"/>
    <n v="0.62"/>
    <n v="0.44"/>
    <n v="0.06"/>
    <s v="Spotify All-Time Most Streamed Top 100"/>
  </r>
  <r>
    <n v="68"/>
    <s v="Thinking Out Loud"/>
    <x v="1"/>
    <n v="2.1"/>
    <x v="33"/>
    <n v="79"/>
    <n v="2014"/>
    <x v="1"/>
    <x v="0"/>
    <n v="0.78"/>
    <n v="0.44"/>
    <n v="0.46"/>
    <n v="0.3"/>
    <s v="Spotify All-Time Most Streamed Top 100"/>
  </r>
  <r>
    <n v="69"/>
    <s v="Wrecking Ball"/>
    <x v="20"/>
    <n v="2.08"/>
    <x v="16"/>
    <n v="72"/>
    <n v="2013"/>
    <x v="2"/>
    <x v="0"/>
    <n v="0.36"/>
    <n v="0.53"/>
    <n v="0.24"/>
    <n v="0.24"/>
    <s v="Spotify All-Time Most Streamed Top 100"/>
  </r>
  <r>
    <n v="70"/>
    <s v="golden hour"/>
    <x v="53"/>
    <n v="2.68"/>
    <x v="9"/>
    <n v="98"/>
    <n v="2022"/>
    <x v="2"/>
    <x v="0"/>
    <n v="0.59"/>
    <n v="0.55000000000000004"/>
    <n v="0.86"/>
    <n v="0.28000000000000003"/>
    <s v="Spotify All-Time Most Streamed Top 100"/>
  </r>
  <r>
    <n v="71"/>
    <s v="Unstoppable"/>
    <x v="54"/>
    <n v="2.96"/>
    <x v="2"/>
    <n v="84"/>
    <n v="2016"/>
    <x v="3"/>
    <x v="0"/>
    <n v="0.64"/>
    <n v="0.44"/>
    <n v="0.55000000000000004"/>
    <n v="0.18"/>
    <s v="Spotify All-Time Most Streamed Top 100"/>
  </r>
  <r>
    <n v="72"/>
    <s v="abcdefu"/>
    <x v="55"/>
    <n v="1.99"/>
    <x v="25"/>
    <n v="144"/>
    <n v="2021"/>
    <x v="2"/>
    <x v="1"/>
    <n v="0.57999999999999996"/>
    <n v="0.85"/>
    <n v="0.68"/>
    <n v="0.02"/>
    <s v="Spotify All-Time Most Streamed Top 100"/>
  </r>
  <r>
    <n v="73"/>
    <s v="Sunroof"/>
    <x v="56"/>
    <n v="1.64"/>
    <x v="9"/>
    <n v="138"/>
    <n v="2021"/>
    <x v="2"/>
    <x v="0"/>
    <n v="0.76"/>
    <n v="0.8"/>
    <n v="0.96"/>
    <n v="0.06"/>
    <s v="Spotify All-Time Most Streamed Top 100"/>
  </r>
  <r>
    <n v="74"/>
    <s v="Beautiful Things"/>
    <x v="57"/>
    <n v="1.4"/>
    <x v="16"/>
    <n v="97"/>
    <n v="2024"/>
    <x v="2"/>
    <x v="0"/>
    <n v="0.46"/>
    <n v="0.68"/>
    <n v="0.46"/>
    <n v="7.0000000000000007E-2"/>
    <s v="Spotify All-Time Most Streamed Top 100"/>
  </r>
  <r>
    <n v="75"/>
    <s v="middle of the night"/>
    <x v="58"/>
    <n v="2.7"/>
    <x v="2"/>
    <n v="97"/>
    <n v="2022"/>
    <x v="2"/>
    <x v="0"/>
    <n v="0.62"/>
    <n v="0.62"/>
    <n v="0.44"/>
    <n v="0.14000000000000001"/>
    <s v="Spotify All-Time Most Streamed Top 100"/>
  </r>
  <r>
    <n v="76"/>
    <s v="Savage Love"/>
    <x v="59"/>
    <n v="1.86"/>
    <x v="2"/>
    <n v="107"/>
    <n v="2020"/>
    <x v="11"/>
    <x v="0"/>
    <n v="0.76"/>
    <n v="0.69"/>
    <n v="0.65"/>
    <n v="0.01"/>
    <s v="Spotify All-Time Most Streamed Top 100"/>
  </r>
  <r>
    <n v="77"/>
    <s v="APT."/>
    <x v="60"/>
    <n v="1.66"/>
    <x v="34"/>
    <n v="145"/>
    <n v="2024"/>
    <x v="6"/>
    <x v="0"/>
    <n v="0.86"/>
    <n v="0.79"/>
    <n v="0.88"/>
    <n v="0.05"/>
    <s v="Spotify All-Time Most Streamed Top 100"/>
  </r>
  <r>
    <n v="78"/>
    <s v="Welcome To The Black Parade"/>
    <x v="61"/>
    <n v="1.78"/>
    <x v="5"/>
    <n v="64"/>
    <n v="2006"/>
    <x v="2"/>
    <x v="0"/>
    <n v="0.31"/>
    <n v="0.85"/>
    <n v="0.12"/>
    <n v="0"/>
    <s v="Spotify All-Time Most Streamed Top 100"/>
  </r>
  <r>
    <n v="79"/>
    <s v="Iris"/>
    <x v="62"/>
    <n v="1.72"/>
    <x v="5"/>
    <n v="77"/>
    <n v="1998"/>
    <x v="2"/>
    <x v="0"/>
    <n v="0.33"/>
    <n v="0.28000000000000003"/>
    <n v="0.14000000000000001"/>
    <n v="0.57999999999999996"/>
    <s v="Spotify All-Time Most Streamed Top 100"/>
  </r>
  <r>
    <n v="80"/>
    <s v="Astronaut In The Ocean"/>
    <x v="63"/>
    <n v="1.7"/>
    <x v="6"/>
    <n v="145"/>
    <n v="2019"/>
    <x v="3"/>
    <x v="0"/>
    <n v="0.72"/>
    <n v="0.79"/>
    <n v="0.38"/>
    <n v="0.04"/>
    <s v="Spotify All-Time Most Streamed Top 100"/>
  </r>
  <r>
    <n v="81"/>
    <s v="Levii's Jeans"/>
    <x v="64"/>
    <n v="1.68"/>
    <x v="35"/>
    <n v="106"/>
    <n v="2024"/>
    <x v="2"/>
    <x v="0"/>
    <n v="0.72"/>
    <n v="0.65"/>
    <n v="0.72"/>
    <n v="0.14000000000000001"/>
    <s v="Spotify All-Time Most Streamed Top 100"/>
  </r>
  <r>
    <n v="82"/>
    <s v="Lose Control"/>
    <x v="65"/>
    <n v="1.65"/>
    <x v="36"/>
    <n v="90"/>
    <n v="2023"/>
    <x v="2"/>
    <x v="0"/>
    <n v="0.6"/>
    <n v="0.55000000000000004"/>
    <n v="0.64"/>
    <n v="0.21"/>
    <s v="Spotify All-Time Most Streamed Top 100"/>
  </r>
  <r>
    <n v="83"/>
    <s v="Too Sweet"/>
    <x v="66"/>
    <n v="1.63"/>
    <x v="29"/>
    <n v="86"/>
    <n v="2024"/>
    <x v="12"/>
    <x v="0"/>
    <n v="0.62"/>
    <n v="0.48"/>
    <n v="0.68"/>
    <n v="0.42"/>
    <s v="Spotify All-Time Most Streamed Top 100"/>
  </r>
  <r>
    <n v="84"/>
    <s v="Sign of the Times"/>
    <x v="11"/>
    <n v="2.0499999999999998"/>
    <x v="37"/>
    <n v="90"/>
    <n v="2017"/>
    <x v="1"/>
    <x v="0"/>
    <n v="0.3"/>
    <n v="0.53"/>
    <n v="0.1"/>
    <n v="0.2"/>
    <s v="Spotify All-Time Most Streamed Top 100"/>
  </r>
  <r>
    <n v="85"/>
    <s v="Adore You"/>
    <x v="11"/>
    <n v="1.9"/>
    <x v="9"/>
    <n v="108"/>
    <n v="2019"/>
    <x v="1"/>
    <x v="0"/>
    <n v="0.56000000000000005"/>
    <n v="0.76"/>
    <n v="0.66"/>
    <n v="0.04"/>
    <s v="Spotify All-Time Most Streamed Top 100"/>
  </r>
  <r>
    <n v="86"/>
    <s v="Arcade"/>
    <x v="67"/>
    <n v="1.88"/>
    <x v="9"/>
    <n v="86"/>
    <n v="2019"/>
    <x v="13"/>
    <x v="0"/>
    <n v="0.34"/>
    <n v="0.3"/>
    <n v="0.1"/>
    <n v="0.52"/>
    <s v="Spotify All-Time Most Streamed Top 100"/>
  </r>
  <r>
    <n v="87"/>
    <s v="See You Again"/>
    <x v="68"/>
    <n v="1.42"/>
    <x v="3"/>
    <n v="80"/>
    <n v="2015"/>
    <x v="2"/>
    <x v="0"/>
    <n v="0.53"/>
    <n v="0.37"/>
    <n v="0.48"/>
    <n v="0.42"/>
    <s v="Spotify All-Time Most Streamed Top 100"/>
  </r>
  <r>
    <n v="88"/>
    <s v="Attention"/>
    <x v="69"/>
    <n v="1.44"/>
    <x v="2"/>
    <n v="107"/>
    <n v="2017"/>
    <x v="2"/>
    <x v="1"/>
    <n v="0.78"/>
    <n v="0.68"/>
    <n v="0.6"/>
    <n v="0.06"/>
    <s v="Spotify All-Time Most Streamed Top 100"/>
  </r>
  <r>
    <n v="89"/>
    <s v="In The Stars"/>
    <x v="57"/>
    <n v="1.68"/>
    <x v="2"/>
    <n v="80"/>
    <n v="2023"/>
    <x v="2"/>
    <x v="0"/>
    <n v="0.51"/>
    <n v="0.44"/>
    <n v="0.42"/>
    <n v="0.28000000000000003"/>
    <s v="Spotify All-Time Most Streamed Top 100"/>
  </r>
  <r>
    <n v="90"/>
    <s v="Kiss Me More"/>
    <x v="70"/>
    <n v="2.23"/>
    <x v="38"/>
    <n v="115"/>
    <n v="2021"/>
    <x v="2"/>
    <x v="0"/>
    <n v="0.78"/>
    <n v="0.66"/>
    <n v="0.8"/>
    <n v="0.02"/>
    <s v="Spotify All-Time Most Streamed Top 100"/>
  </r>
  <r>
    <n v="91"/>
    <s v="End Of Beginning"/>
    <x v="71"/>
    <n v="1.6"/>
    <x v="20"/>
    <n v="139"/>
    <n v="2022"/>
    <x v="2"/>
    <x v="0"/>
    <n v="0.52"/>
    <n v="0.64"/>
    <n v="0.44"/>
    <n v="0.1"/>
    <s v="Spotify All-Time Most Streamed Top 100"/>
  </r>
  <r>
    <n v="92"/>
    <s v="Ribs"/>
    <x v="72"/>
    <n v="1.54"/>
    <x v="9"/>
    <n v="104"/>
    <n v="2013"/>
    <x v="14"/>
    <x v="0"/>
    <n v="0.38"/>
    <n v="0.44"/>
    <n v="0.22"/>
    <n v="0.3"/>
    <s v="Spotify All-Time Most Streamed Top 100"/>
  </r>
  <r>
    <n v="93"/>
    <s v="Lemon Tree"/>
    <x v="73"/>
    <n v="1.46"/>
    <x v="16"/>
    <n v="139"/>
    <n v="1996"/>
    <x v="15"/>
    <x v="0"/>
    <n v="0.74"/>
    <n v="0.76"/>
    <n v="0.86"/>
    <n v="0.38"/>
    <s v="Spotify All-Time Most Streamed Top 100"/>
  </r>
  <r>
    <n v="94"/>
    <s v="Bliss"/>
    <x v="74"/>
    <n v="1.62"/>
    <x v="5"/>
    <n v="154"/>
    <n v="2001"/>
    <x v="1"/>
    <x v="0"/>
    <n v="0.44"/>
    <n v="0.82"/>
    <n v="0.44"/>
    <n v="0.04"/>
    <s v="Spotify All-Time Most Streamed Top 100"/>
  </r>
  <r>
    <n v="95"/>
    <s v="Stumblin' In"/>
    <x v="75"/>
    <n v="1.58"/>
    <x v="2"/>
    <n v="90"/>
    <n v="2023"/>
    <x v="13"/>
    <x v="0"/>
    <n v="0.66"/>
    <n v="0.54"/>
    <n v="0.76"/>
    <n v="0.22"/>
    <s v="Spotify All-Time Most Streamed Top 100"/>
  </r>
  <r>
    <n v="96"/>
    <s v="Electricity"/>
    <x v="76"/>
    <n v="1.92"/>
    <x v="7"/>
    <n v="143"/>
    <n v="2018"/>
    <x v="1"/>
    <x v="0"/>
    <n v="0.76"/>
    <n v="0.88"/>
    <n v="0.72"/>
    <n v="0"/>
    <s v="Spotify All-Time Most Streamed Top 100"/>
  </r>
  <r>
    <n v="97"/>
    <s v="Blinding Lights (Remix)"/>
    <x v="77"/>
    <n v="1.44"/>
    <x v="0"/>
    <n v="171"/>
    <n v="2020"/>
    <x v="16"/>
    <x v="0"/>
    <n v="0.54"/>
    <n v="0.8"/>
    <n v="0.36"/>
    <n v="0.01"/>
    <s v="Spotify All-Time Most Streamed Top 100"/>
  </r>
  <r>
    <n v="98"/>
    <s v="Falling For You"/>
    <x v="78"/>
    <n v="1.56"/>
    <x v="9"/>
    <n v="150"/>
    <n v="2018"/>
    <x v="2"/>
    <x v="0"/>
    <n v="0.64"/>
    <n v="0.42"/>
    <n v="0.72"/>
    <n v="0.38"/>
    <s v="Spotify All-Time Most Streamed Top 100"/>
  </r>
  <r>
    <n v="99"/>
    <s v="Laugh Now Cry Later"/>
    <x v="79"/>
    <n v="3.05"/>
    <x v="6"/>
    <n v="142"/>
    <n v="2020"/>
    <x v="0"/>
    <x v="1"/>
    <n v="0.82"/>
    <n v="0.62"/>
    <n v="0.55000000000000004"/>
    <n v="0.02"/>
    <s v="Spotify All-Time Most Streamed Top 100"/>
  </r>
  <r>
    <n v="100"/>
    <s v="Shake It Off"/>
    <x v="25"/>
    <n v="1.6"/>
    <x v="2"/>
    <n v="160"/>
    <n v="2014"/>
    <x v="2"/>
    <x v="0"/>
    <n v="0.65"/>
    <n v="0.8"/>
    <n v="0.94"/>
    <n v="0.06"/>
    <s v="Spotify All-Time Most Streamed Top 10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
  <r>
    <n v="1"/>
    <x v="0"/>
    <x v="0"/>
    <n v="5.26"/>
    <s v="Synth-Pop"/>
    <n v="171"/>
    <n v="2019"/>
    <s v="Canada"/>
    <b v="0"/>
    <n v="0.51"/>
    <n v="0.8"/>
    <n v="0.33"/>
    <n v="0"/>
    <s v="Spotify All-Time Most Streamed Top 100"/>
  </r>
  <r>
    <n v="2"/>
    <x v="1"/>
    <x v="1"/>
    <n v="4.9000000000000004"/>
    <s v="Pop/Dancehall"/>
    <n v="96"/>
    <n v="2017"/>
    <s v="UK"/>
    <b v="0"/>
    <n v="0.83"/>
    <n v="0.65"/>
    <n v="0.93"/>
    <n v="0.08"/>
    <s v="Spotify All-Time Most Streamed Top 100"/>
  </r>
  <r>
    <n v="3"/>
    <x v="2"/>
    <x v="2"/>
    <n v="4.05"/>
    <s v="Pop"/>
    <n v="77"/>
    <n v="2018"/>
    <s v="UK"/>
    <b v="0"/>
    <n v="0.6"/>
    <n v="0.45"/>
    <n v="0.42"/>
    <n v="0.28999999999999998"/>
    <s v="Spotify All-Time Most Streamed Top 100"/>
  </r>
  <r>
    <n v="4"/>
    <x v="3"/>
    <x v="3"/>
    <n v="3.98"/>
    <s v="Hip-Hop/Pop"/>
    <n v="93"/>
    <n v="2018"/>
    <s v="USA"/>
    <b v="0"/>
    <n v="0.76"/>
    <n v="0.49"/>
    <n v="0.84"/>
    <n v="0.15"/>
    <s v="Spotify All-Time Most Streamed Top 100"/>
  </r>
  <r>
    <n v="5"/>
    <x v="4"/>
    <x v="4"/>
    <n v="3.92"/>
    <s v="Afrobeats/Pop"/>
    <n v="100"/>
    <n v="2016"/>
    <s v="Canada"/>
    <b v="0"/>
    <n v="0.79"/>
    <n v="0.62"/>
    <n v="0.68"/>
    <n v="0.09"/>
    <s v="Spotify All-Time Most Streamed Top 100"/>
  </r>
  <r>
    <n v="6"/>
    <x v="5"/>
    <x v="5"/>
    <n v="3.87"/>
    <s v="Pop"/>
    <n v="170"/>
    <n v="2021"/>
    <s v="Australia"/>
    <b v="1"/>
    <n v="0.59"/>
    <n v="0.8"/>
    <n v="0.6"/>
    <n v="0"/>
    <s v="Spotify All-Time Most Streamed Top 100"/>
  </r>
  <r>
    <n v="7"/>
    <x v="6"/>
    <x v="6"/>
    <n v="3.76"/>
    <s v="Alt Rock"/>
    <n v="125"/>
    <n v="2017"/>
    <s v="USA"/>
    <b v="0"/>
    <n v="0.33"/>
    <n v="0.86"/>
    <n v="0.45"/>
    <n v="7.0000000000000007E-2"/>
    <s v="Spotify All-Time Most Streamed Top 100"/>
  </r>
  <r>
    <n v="8"/>
    <x v="7"/>
    <x v="7"/>
    <n v="3.72"/>
    <s v="Hip-Hop"/>
    <n v="159"/>
    <n v="2017"/>
    <s v="USA"/>
    <b v="1"/>
    <n v="0.55000000000000004"/>
    <n v="0.52"/>
    <n v="0.13"/>
    <n v="0.08"/>
    <s v="Spotify All-Time Most Streamed Top 100"/>
  </r>
  <r>
    <n v="9"/>
    <x v="8"/>
    <x v="8"/>
    <n v="3.69"/>
    <s v="Pop"/>
    <n v="98"/>
    <n v="2019"/>
    <s v="Australia"/>
    <b v="0"/>
    <n v="0.83"/>
    <n v="0.63"/>
    <n v="0.73"/>
    <n v="0.14000000000000001"/>
    <s v="Spotify All-Time Most Streamed Top 100"/>
  </r>
  <r>
    <n v="10"/>
    <x v="9"/>
    <x v="9"/>
    <n v="3.65"/>
    <s v="EDM/Pop"/>
    <n v="100"/>
    <n v="2018"/>
    <s v="USA/UK"/>
    <b v="0"/>
    <n v="0.62"/>
    <n v="0.82"/>
    <n v="0.96"/>
    <n v="0.02"/>
    <s v="Spotify All-Time Most Streamed Top 100"/>
  </r>
  <r>
    <n v="11"/>
    <x v="10"/>
    <x v="10"/>
    <n v="3.62"/>
    <s v="Latin Pop"/>
    <n v="117"/>
    <n v="2019"/>
    <s v="Canada/Cuba"/>
    <b v="0"/>
    <n v="0.75"/>
    <n v="0.74"/>
    <n v="0.75"/>
    <n v="0.14000000000000001"/>
    <s v="Spotify All-Time Most Streamed Top 100"/>
  </r>
  <r>
    <n v="12"/>
    <x v="11"/>
    <x v="11"/>
    <n v="3.58"/>
    <s v="Indie Pop"/>
    <n v="95"/>
    <n v="2019"/>
    <s v="UK"/>
    <b v="0"/>
    <n v="0.55000000000000004"/>
    <n v="0.82"/>
    <n v="0.74"/>
    <n v="0.12"/>
    <s v="Spotify All-Time Most Streamed Top 100"/>
  </r>
  <r>
    <n v="13"/>
    <x v="12"/>
    <x v="1"/>
    <n v="3.55"/>
    <s v="Pop/Folk"/>
    <n v="95"/>
    <n v="2017"/>
    <s v="UK"/>
    <b v="0"/>
    <n v="0.66"/>
    <n v="0.43"/>
    <n v="0.41"/>
    <n v="0.37"/>
    <s v="Spotify All-Time Most Streamed Top 100"/>
  </r>
  <r>
    <n v="14"/>
    <x v="13"/>
    <x v="12"/>
    <n v="3.52"/>
    <s v="Nu-Disco"/>
    <n v="103"/>
    <n v="2020"/>
    <s v="UK"/>
    <b v="0"/>
    <n v="0.7"/>
    <n v="0.82"/>
    <n v="0.91"/>
    <n v="0"/>
    <s v="Spotify All-Time Most Streamed Top 100"/>
  </r>
  <r>
    <n v="15"/>
    <x v="14"/>
    <x v="13"/>
    <n v="3.4"/>
    <s v="Indie Pop"/>
    <n v="80"/>
    <n v="2020"/>
    <s v="UK"/>
    <b v="0"/>
    <n v="0.51"/>
    <n v="0.54"/>
    <n v="0.57999999999999996"/>
    <n v="0.22"/>
    <s v="Spotify All-Time Most Streamed Top 100"/>
  </r>
  <r>
    <n v="16"/>
    <x v="15"/>
    <x v="14"/>
    <n v="3.37"/>
    <s v="Electropop"/>
    <n v="135"/>
    <n v="2019"/>
    <s v="USA"/>
    <b v="0"/>
    <n v="0.7"/>
    <n v="0.43"/>
    <n v="0.56000000000000005"/>
    <n v="0"/>
    <s v="Spotify All-Time Most Streamed Top 100"/>
  </r>
  <r>
    <n v="17"/>
    <x v="16"/>
    <x v="15"/>
    <n v="3.34"/>
    <s v="Pop"/>
    <n v="73"/>
    <n v="2021"/>
    <s v="USA"/>
    <b v="0"/>
    <n v="0.59"/>
    <n v="0.43"/>
    <n v="0.13"/>
    <n v="0.28000000000000003"/>
    <s v="Spotify All-Time Most Streamed Top 100"/>
  </r>
  <r>
    <n v="18"/>
    <x v="17"/>
    <x v="16"/>
    <n v="3.31"/>
    <s v="Pop Rap"/>
    <n v="121"/>
    <n v="2019"/>
    <s v="USA"/>
    <b v="0"/>
    <n v="0.69"/>
    <n v="0.55000000000000004"/>
    <n v="0.72"/>
    <n v="0.09"/>
    <s v="Spotify All-Time Most Streamed Top 100"/>
  </r>
  <r>
    <n v="19"/>
    <x v="18"/>
    <x v="17"/>
    <n v="3.28"/>
    <s v="Pop"/>
    <n v="91"/>
    <n v="2019"/>
    <s v="USA"/>
    <b v="0"/>
    <n v="0.76"/>
    <n v="0.36"/>
    <n v="0.7"/>
    <n v="0.52"/>
    <s v="Spotify All-Time Most Streamed Top 100"/>
  </r>
  <r>
    <n v="20"/>
    <x v="19"/>
    <x v="18"/>
    <n v="3.25"/>
    <s v="Pop/Country"/>
    <n v="96"/>
    <n v="2018"/>
    <s v="USA"/>
    <b v="0"/>
    <n v="0.59"/>
    <n v="0.55000000000000004"/>
    <n v="0.37"/>
    <n v="0.22"/>
    <s v="Spotify All-Time Most Streamed Top 100"/>
  </r>
  <r>
    <n v="21"/>
    <x v="20"/>
    <x v="11"/>
    <n v="3.22"/>
    <s v="Indie Pop"/>
    <n v="174"/>
    <n v="2022"/>
    <s v="UK"/>
    <b v="0"/>
    <n v="0.52"/>
    <n v="0.73"/>
    <n v="0.36"/>
    <n v="0"/>
    <s v="Spotify All-Time Most Streamed Top 100"/>
  </r>
  <r>
    <n v="22"/>
    <x v="21"/>
    <x v="19"/>
    <n v="3.19"/>
    <s v="Pop/Funk"/>
    <n v="114"/>
    <n v="2020"/>
    <s v="South Korea"/>
    <b v="0"/>
    <n v="0.74"/>
    <n v="0.77"/>
    <n v="0.74"/>
    <n v="0.01"/>
    <s v="Spotify All-Time Most Streamed Top 100"/>
  </r>
  <r>
    <n v="23"/>
    <x v="22"/>
    <x v="20"/>
    <n v="3.16"/>
    <s v="Pop"/>
    <n v="118"/>
    <n v="2023"/>
    <s v="USA"/>
    <b v="0"/>
    <n v="0.74"/>
    <n v="0.74"/>
    <n v="0.88"/>
    <n v="0.1"/>
    <s v="Spotify All-Time Most Streamed Top 100"/>
  </r>
  <r>
    <n v="24"/>
    <x v="23"/>
    <x v="21"/>
    <n v="3.14"/>
    <s v="Pop Rock"/>
    <n v="122"/>
    <n v="2013"/>
    <s v="USA"/>
    <b v="0"/>
    <n v="0.62"/>
    <n v="0.8"/>
    <n v="0.57999999999999996"/>
    <n v="0.12"/>
    <s v="Spotify All-Time Most Streamed Top 100"/>
  </r>
  <r>
    <n v="25"/>
    <x v="24"/>
    <x v="22"/>
    <n v="3.11"/>
    <s v="Emo Rap"/>
    <n v="84"/>
    <n v="2018"/>
    <s v="USA"/>
    <b v="1"/>
    <n v="0.51"/>
    <n v="0.49"/>
    <n v="0.22"/>
    <n v="7.0000000000000007E-2"/>
    <s v="Spotify All-Time Most Streamed Top 100"/>
  </r>
  <r>
    <n v="26"/>
    <x v="25"/>
    <x v="23"/>
    <n v="3.08"/>
    <s v="EDM/Pop"/>
    <n v="95"/>
    <n v="2016"/>
    <s v="USA"/>
    <b v="1"/>
    <n v="0.74"/>
    <n v="0.65"/>
    <n v="0.77"/>
    <n v="0.04"/>
    <s v="Spotify All-Time Most Streamed Top 100"/>
  </r>
  <r>
    <n v="27"/>
    <x v="26"/>
    <x v="24"/>
    <n v="3.02"/>
    <s v="Afrobeats/Pop"/>
    <n v="106"/>
    <n v="2022"/>
    <s v="Nigeria/USA"/>
    <b v="0"/>
    <n v="0.8"/>
    <n v="0.72"/>
    <n v="0.78"/>
    <n v="0.08"/>
    <s v="Spotify All-Time Most Streamed Top 100"/>
  </r>
  <r>
    <n v="28"/>
    <x v="27"/>
    <x v="25"/>
    <n v="2.99"/>
    <s v="Indie Pop"/>
    <n v="97"/>
    <n v="2022"/>
    <s v="USA"/>
    <b v="0"/>
    <n v="0.64"/>
    <n v="0.57999999999999996"/>
    <n v="0.47"/>
    <n v="0.1"/>
    <s v="Spotify All-Time Most Streamed Top 100"/>
  </r>
  <r>
    <n v="29"/>
    <x v="28"/>
    <x v="0"/>
    <n v="2.88"/>
    <s v="Synth-Pop"/>
    <n v="118"/>
    <n v="2020"/>
    <s v="Canada"/>
    <b v="0"/>
    <n v="0.68"/>
    <n v="0.82"/>
    <n v="0.78"/>
    <n v="0.01"/>
    <s v="Spotify All-Time Most Streamed Top 100"/>
  </r>
  <r>
    <n v="30"/>
    <x v="29"/>
    <x v="0"/>
    <n v="2.86"/>
    <s v="R&amp;B"/>
    <n v="95"/>
    <n v="2016"/>
    <s v="Canada"/>
    <b v="0"/>
    <n v="0.4"/>
    <n v="0.55000000000000004"/>
    <n v="0.32"/>
    <n v="0.04"/>
    <s v="Spotify All-Time Most Streamed Top 100"/>
  </r>
  <r>
    <n v="31"/>
    <x v="30"/>
    <x v="26"/>
    <n v="2.84"/>
    <s v="Indie Pop"/>
    <n v="95"/>
    <n v="2018"/>
    <s v="USA"/>
    <b v="0"/>
    <n v="0.35"/>
    <n v="0.3"/>
    <n v="0.08"/>
    <n v="0.5"/>
    <s v="Spotify All-Time Most Streamed Top 100"/>
  </r>
  <r>
    <n v="32"/>
    <x v="31"/>
    <x v="27"/>
    <n v="2.5299999999999998"/>
    <s v="Funk/Pop"/>
    <n v="115"/>
    <n v="2014"/>
    <s v="USA"/>
    <b v="0"/>
    <n v="0.9"/>
    <n v="0.96"/>
    <n v="0.82"/>
    <n v="0.02"/>
    <s v="Spotify All-Time Most Streamed Top 100"/>
  </r>
  <r>
    <n v="33"/>
    <x v="32"/>
    <x v="28"/>
    <n v="2.4700000000000002"/>
    <s v="Indie Rock"/>
    <n v="124"/>
    <n v="2013"/>
    <s v="USA"/>
    <b v="0"/>
    <n v="0.59"/>
    <n v="0.64"/>
    <n v="0.5"/>
    <n v="0.26"/>
    <s v="Spotify All-Time Most Streamed Top 100"/>
  </r>
  <r>
    <n v="34"/>
    <x v="33"/>
    <x v="25"/>
    <n v="2.72"/>
    <s v="Synth-Pop"/>
    <n v="170"/>
    <n v="2019"/>
    <s v="USA"/>
    <b v="0"/>
    <n v="0.55000000000000004"/>
    <n v="0.7"/>
    <n v="0.56999999999999995"/>
    <n v="0.12"/>
    <s v="Spotify All-Time Most Streamed Top 100"/>
  </r>
  <r>
    <n v="35"/>
    <x v="34"/>
    <x v="29"/>
    <n v="2.15"/>
    <s v="Reggaeton"/>
    <n v="178"/>
    <n v="2017"/>
    <s v="Puerto Rico"/>
    <b v="0"/>
    <n v="0.69"/>
    <n v="0.81"/>
    <n v="0.81"/>
    <n v="0.22"/>
    <s v="Spotify All-Time Most Streamed Top 100"/>
  </r>
  <r>
    <n v="36"/>
    <x v="35"/>
    <x v="30"/>
    <n v="2.13"/>
    <s v="Latin Pop"/>
    <n v="105"/>
    <n v="2017"/>
    <s v="Cuba/USA"/>
    <b v="0"/>
    <n v="0.76"/>
    <n v="0.57999999999999996"/>
    <n v="0.61"/>
    <n v="0.14000000000000001"/>
    <s v="Spotify All-Time Most Streamed Top 100"/>
  </r>
  <r>
    <n v="37"/>
    <x v="36"/>
    <x v="31"/>
    <n v="2.02"/>
    <s v="Pop/Soul"/>
    <n v="62"/>
    <n v="2021"/>
    <s v="UK"/>
    <b v="0"/>
    <n v="0.34"/>
    <n v="0.26"/>
    <n v="0.17"/>
    <n v="0.76"/>
    <s v="Spotify All-Time Most Streamed Top 100"/>
  </r>
  <r>
    <n v="38"/>
    <x v="37"/>
    <x v="32"/>
    <n v="1.95"/>
    <s v="Hip-Hop"/>
    <n v="171"/>
    <n v="2002"/>
    <s v="USA"/>
    <b v="1"/>
    <n v="0.66"/>
    <n v="0.62"/>
    <n v="0.26"/>
    <n v="0"/>
    <s v="Spotify All-Time Most Streamed Top 100"/>
  </r>
  <r>
    <n v="39"/>
    <x v="38"/>
    <x v="33"/>
    <n v="1.82"/>
    <s v="Alt Rock"/>
    <n v="118"/>
    <n v="2003"/>
    <s v="USA"/>
    <b v="0"/>
    <n v="0.46"/>
    <n v="0.9"/>
    <n v="0.15"/>
    <n v="0.02"/>
    <s v="Spotify All-Time Most Streamed Top 100"/>
  </r>
  <r>
    <n v="40"/>
    <x v="39"/>
    <x v="34"/>
    <n v="1.8"/>
    <s v="Grunge"/>
    <n v="117"/>
    <n v="1991"/>
    <s v="USA"/>
    <b v="0"/>
    <n v="0.5"/>
    <n v="0.9"/>
    <n v="0.44"/>
    <n v="0"/>
    <s v="Spotify All-Time Most Streamed Top 100"/>
  </r>
  <r>
    <n v="41"/>
    <x v="40"/>
    <x v="35"/>
    <n v="1.76"/>
    <s v="Pop"/>
    <n v="104"/>
    <n v="2024"/>
    <s v="USA"/>
    <b v="0"/>
    <n v="0.8"/>
    <n v="0.73"/>
    <n v="0.96"/>
    <n v="0.06"/>
    <s v="Spotify All-Time Most Streamed Top 100"/>
  </r>
  <r>
    <n v="42"/>
    <x v="41"/>
    <x v="6"/>
    <n v="1.74"/>
    <s v="Alt Rock"/>
    <n v="136"/>
    <n v="2012"/>
    <s v="USA"/>
    <b v="0"/>
    <n v="0.38"/>
    <n v="0.76"/>
    <n v="0.23"/>
    <n v="0.1"/>
    <s v="Spotify All-Time Most Streamed Top 100"/>
  </r>
  <r>
    <n v="43"/>
    <x v="42"/>
    <x v="36"/>
    <n v="1.52"/>
    <s v="Art Pop"/>
    <n v="112"/>
    <n v="1985"/>
    <s v="UK"/>
    <b v="0"/>
    <n v="0.41"/>
    <n v="0.68"/>
    <n v="0.25"/>
    <n v="0.08"/>
    <s v="Spotify All-Time Most Streamed Top 100"/>
  </r>
  <r>
    <n v="44"/>
    <x v="43"/>
    <x v="37"/>
    <n v="1.5"/>
    <s v="Hip-Hop"/>
    <n v="101"/>
    <n v="2024"/>
    <s v="USA"/>
    <b v="1"/>
    <n v="0.82"/>
    <n v="0.72"/>
    <n v="0.62"/>
    <n v="0.04"/>
    <s v="Spotify All-Time Most Streamed Top 100"/>
  </r>
  <r>
    <n v="45"/>
    <x v="44"/>
    <x v="15"/>
    <n v="1.48"/>
    <s v="Pop Punk"/>
    <n v="166"/>
    <n v="2021"/>
    <s v="USA"/>
    <b v="0"/>
    <n v="0.56000000000000005"/>
    <n v="0.9"/>
    <n v="0.65"/>
    <n v="0"/>
    <s v="Spotify All-Time Most Streamed Top 100"/>
  </r>
  <r>
    <n v="46"/>
    <x v="45"/>
    <x v="38"/>
    <n v="2.76"/>
    <s v="Holiday Pop"/>
    <n v="150"/>
    <n v="1994"/>
    <s v="USA"/>
    <b v="0"/>
    <n v="0.42"/>
    <n v="0.66"/>
    <n v="0.78"/>
    <n v="0.32"/>
    <s v="Spotify All-Time Most Streamed Top 100"/>
  </r>
  <r>
    <n v="47"/>
    <x v="46"/>
    <x v="39"/>
    <n v="2.62"/>
    <s v="Synth-Pop"/>
    <n v="186"/>
    <n v="2016"/>
    <s v="Canada"/>
    <b v="1"/>
    <n v="0.68"/>
    <n v="0.79"/>
    <n v="0.5"/>
    <n v="0"/>
    <s v="Spotify All-Time Most Streamed Top 100"/>
  </r>
  <r>
    <n v="48"/>
    <x v="47"/>
    <x v="40"/>
    <n v="2.59"/>
    <s v="Hip-Hop"/>
    <n v="130"/>
    <n v="2016"/>
    <s v="USA"/>
    <b v="1"/>
    <n v="0.62"/>
    <n v="0.68"/>
    <n v="0.39"/>
    <n v="0.06"/>
    <s v="Spotify All-Time Most Streamed Top 100"/>
  </r>
  <r>
    <n v="49"/>
    <x v="48"/>
    <x v="41"/>
    <n v="2.56"/>
    <s v="Trap Pop"/>
    <n v="140"/>
    <n v="2019"/>
    <s v="USA"/>
    <b v="1"/>
    <n v="0.64"/>
    <n v="0.61"/>
    <n v="0.49"/>
    <n v="0.02"/>
    <s v="Spotify All-Time Most Streamed Top 100"/>
  </r>
  <r>
    <n v="50"/>
    <x v="49"/>
    <x v="42"/>
    <n v="1.84"/>
    <s v="Pop"/>
    <n v="120"/>
    <n v="2024"/>
    <s v="USA"/>
    <b v="0"/>
    <n v="0.72"/>
    <n v="0.68"/>
    <n v="0.55000000000000004"/>
    <n v="0.18"/>
    <s v="Spotify All-Time Most Streamed Top 100"/>
  </r>
  <r>
    <n v="51"/>
    <x v="50"/>
    <x v="43"/>
    <n v="1.6"/>
    <s v="R&amp;B/Pop"/>
    <n v="90"/>
    <n v="2021"/>
    <s v="Canada"/>
    <b v="0"/>
    <n v="0.68"/>
    <n v="0.52"/>
    <n v="0.69"/>
    <n v="0.16"/>
    <s v="Spotify All-Time Most Streamed Top 100"/>
  </r>
  <r>
    <n v="52"/>
    <x v="51"/>
    <x v="11"/>
    <n v="2.4"/>
    <s v="Pop Rock"/>
    <n v="88"/>
    <n v="2019"/>
    <s v="UK"/>
    <b v="0"/>
    <n v="0.43"/>
    <n v="0.43"/>
    <n v="7.0000000000000007E-2"/>
    <n v="0.38"/>
    <s v="Spotify All-Time Most Streamed Top 100"/>
  </r>
  <r>
    <n v="53"/>
    <x v="52"/>
    <x v="6"/>
    <n v="3.49"/>
    <s v="Alt Rock"/>
    <n v="168"/>
    <n v="2017"/>
    <s v="USA"/>
    <b v="0"/>
    <n v="0.6"/>
    <n v="0.52"/>
    <n v="0.55000000000000004"/>
    <n v="0.01"/>
    <s v="Spotify All-Time Most Streamed Top 100"/>
  </r>
  <r>
    <n v="54"/>
    <x v="53"/>
    <x v="1"/>
    <n v="1.62"/>
    <s v="Synth-Pop"/>
    <n v="126"/>
    <n v="2021"/>
    <s v="UK"/>
    <b v="0"/>
    <n v="0.68"/>
    <n v="0.83"/>
    <n v="0.72"/>
    <n v="0"/>
    <s v="Spotify All-Time Most Streamed Top 100"/>
  </r>
  <r>
    <n v="55"/>
    <x v="54"/>
    <x v="19"/>
    <n v="1.6"/>
    <s v="Funk/Pop"/>
    <n v="110"/>
    <n v="2021"/>
    <s v="South Korea"/>
    <b v="0"/>
    <n v="0.79"/>
    <n v="0.73"/>
    <n v="0.74"/>
    <n v="0.01"/>
    <s v="Spotify All-Time Most Streamed Top 100"/>
  </r>
  <r>
    <n v="56"/>
    <x v="55"/>
    <x v="44"/>
    <n v="2.34"/>
    <s v="Pop"/>
    <n v="82"/>
    <n v="2014"/>
    <s v="UK"/>
    <b v="0"/>
    <n v="0.56000000000000005"/>
    <n v="0.54"/>
    <n v="0.72"/>
    <n v="0.3"/>
    <s v="Spotify All-Time Most Streamed Top 100"/>
  </r>
  <r>
    <n v="57"/>
    <x v="56"/>
    <x v="45"/>
    <n v="2.3199999999999998"/>
    <s v="Pop Rock"/>
    <n v="191"/>
    <n v="2018"/>
    <s v="USA"/>
    <b v="0"/>
    <n v="0.66"/>
    <n v="0.83"/>
    <n v="0.84"/>
    <n v="0.04"/>
    <s v="Spotify All-Time Most Streamed Top 100"/>
  </r>
  <r>
    <n v="58"/>
    <x v="57"/>
    <x v="46"/>
    <n v="2.5"/>
    <s v="Indie Folk"/>
    <n v="131"/>
    <n v="2013"/>
    <s v="Australia"/>
    <b v="0"/>
    <n v="0.66"/>
    <n v="0.55000000000000004"/>
    <n v="0.82"/>
    <n v="0.5"/>
    <s v="Spotify All-Time Most Streamed Top 100"/>
  </r>
  <r>
    <n v="59"/>
    <x v="58"/>
    <x v="47"/>
    <n v="2.29"/>
    <s v="Blues Rock"/>
    <n v="78"/>
    <n v="2016"/>
    <s v="Iceland"/>
    <b v="0"/>
    <n v="0.46"/>
    <n v="0.48"/>
    <n v="0.28000000000000003"/>
    <n v="0.26"/>
    <s v="Spotify All-Time Most Streamed Top 100"/>
  </r>
  <r>
    <n v="60"/>
    <x v="59"/>
    <x v="48"/>
    <n v="2.2599999999999998"/>
    <s v="Indie Pop"/>
    <n v="86"/>
    <n v="2020"/>
    <s v="USA"/>
    <b v="0"/>
    <n v="0.44"/>
    <n v="0.3"/>
    <n v="0.3"/>
    <n v="0.54"/>
    <s v="Spotify All-Time Most Streamed Top 100"/>
  </r>
  <r>
    <n v="61"/>
    <x v="60"/>
    <x v="49"/>
    <n v="2.2000000000000002"/>
    <s v="Pop Punk"/>
    <n v="150"/>
    <n v="2020"/>
    <s v="USA"/>
    <b v="1"/>
    <n v="0.7"/>
    <n v="0.75"/>
    <n v="0.6"/>
    <n v="0.02"/>
    <s v="Spotify All-Time Most Streamed Top 100"/>
  </r>
  <r>
    <n v="62"/>
    <x v="61"/>
    <x v="1"/>
    <n v="3.45"/>
    <s v="Folk Pop"/>
    <n v="96"/>
    <n v="2014"/>
    <s v="UK"/>
    <b v="0"/>
    <n v="0.6"/>
    <n v="0.56000000000000005"/>
    <n v="0.52"/>
    <n v="0.31"/>
    <s v="Spotify All-Time Most Streamed Top 100"/>
  </r>
  <r>
    <n v="63"/>
    <x v="62"/>
    <x v="43"/>
    <n v="2.93"/>
    <s v="Acoustic Pop"/>
    <n v="102"/>
    <n v="2015"/>
    <s v="Canada"/>
    <b v="0"/>
    <n v="0.62"/>
    <n v="0.38"/>
    <n v="0.55000000000000004"/>
    <n v="0.46"/>
    <s v="Spotify All-Time Most Streamed Top 100"/>
  </r>
  <r>
    <n v="64"/>
    <x v="63"/>
    <x v="50"/>
    <n v="2.82"/>
    <s v="Pop"/>
    <n v="130"/>
    <n v="2018"/>
    <s v="USA"/>
    <b v="0"/>
    <n v="0.57999999999999996"/>
    <n v="0.69"/>
    <n v="0.3"/>
    <n v="0.05"/>
    <s v="Spotify All-Time Most Streamed Top 100"/>
  </r>
  <r>
    <n v="65"/>
    <x v="64"/>
    <x v="51"/>
    <n v="2.9"/>
    <s v="EDM/Pop"/>
    <n v="103"/>
    <n v="2017"/>
    <s v="USA/UK"/>
    <b v="0"/>
    <n v="0.62"/>
    <n v="0.73"/>
    <n v="0.53"/>
    <n v="0.06"/>
    <s v="Spotify All-Time Most Streamed Top 100"/>
  </r>
  <r>
    <n v="66"/>
    <x v="65"/>
    <x v="41"/>
    <n v="2.65"/>
    <s v="R&amp;B/Pop"/>
    <n v="144"/>
    <n v="2020"/>
    <s v="USA"/>
    <b v="0"/>
    <n v="0.74"/>
    <n v="0.66"/>
    <n v="0.69"/>
    <n v="0.04"/>
    <s v="Spotify All-Time Most Streamed Top 100"/>
  </r>
  <r>
    <n v="67"/>
    <x v="66"/>
    <x v="52"/>
    <n v="3.42"/>
    <s v="Hip-Hop"/>
    <n v="98"/>
    <n v="2016"/>
    <s v="USA"/>
    <b v="0"/>
    <n v="0.72"/>
    <n v="0.62"/>
    <n v="0.44"/>
    <n v="0.06"/>
    <s v="Spotify All-Time Most Streamed Top 100"/>
  </r>
  <r>
    <n v="68"/>
    <x v="67"/>
    <x v="1"/>
    <n v="2.1"/>
    <s v="Soul/R&amp;B"/>
    <n v="79"/>
    <n v="2014"/>
    <s v="UK"/>
    <b v="0"/>
    <n v="0.78"/>
    <n v="0.44"/>
    <n v="0.46"/>
    <n v="0.3"/>
    <s v="Spotify All-Time Most Streamed Top 100"/>
  </r>
  <r>
    <n v="69"/>
    <x v="68"/>
    <x v="20"/>
    <n v="2.08"/>
    <s v="Pop Rock"/>
    <n v="72"/>
    <n v="2013"/>
    <s v="USA"/>
    <b v="0"/>
    <n v="0.36"/>
    <n v="0.53"/>
    <n v="0.24"/>
    <n v="0.24"/>
    <s v="Spotify All-Time Most Streamed Top 100"/>
  </r>
  <r>
    <n v="70"/>
    <x v="69"/>
    <x v="53"/>
    <n v="2.68"/>
    <s v="Indie Pop"/>
    <n v="98"/>
    <n v="2022"/>
    <s v="USA"/>
    <b v="0"/>
    <n v="0.59"/>
    <n v="0.55000000000000004"/>
    <n v="0.86"/>
    <n v="0.28000000000000003"/>
    <s v="Spotify All-Time Most Streamed Top 100"/>
  </r>
  <r>
    <n v="71"/>
    <x v="70"/>
    <x v="54"/>
    <n v="2.96"/>
    <s v="Pop"/>
    <n v="84"/>
    <n v="2016"/>
    <s v="Australia"/>
    <b v="0"/>
    <n v="0.64"/>
    <n v="0.44"/>
    <n v="0.55000000000000004"/>
    <n v="0.18"/>
    <s v="Spotify All-Time Most Streamed Top 100"/>
  </r>
  <r>
    <n v="72"/>
    <x v="71"/>
    <x v="55"/>
    <n v="1.99"/>
    <s v="Pop Punk"/>
    <n v="144"/>
    <n v="2021"/>
    <s v="USA"/>
    <b v="1"/>
    <n v="0.57999999999999996"/>
    <n v="0.85"/>
    <n v="0.68"/>
    <n v="0.02"/>
    <s v="Spotify All-Time Most Streamed Top 100"/>
  </r>
  <r>
    <n v="73"/>
    <x v="72"/>
    <x v="56"/>
    <n v="1.64"/>
    <s v="Indie Pop"/>
    <n v="138"/>
    <n v="2021"/>
    <s v="USA"/>
    <b v="0"/>
    <n v="0.76"/>
    <n v="0.8"/>
    <n v="0.96"/>
    <n v="0.06"/>
    <s v="Spotify All-Time Most Streamed Top 100"/>
  </r>
  <r>
    <n v="74"/>
    <x v="73"/>
    <x v="57"/>
    <n v="1.4"/>
    <s v="Pop Rock"/>
    <n v="97"/>
    <n v="2024"/>
    <s v="USA"/>
    <b v="0"/>
    <n v="0.46"/>
    <n v="0.68"/>
    <n v="0.46"/>
    <n v="7.0000000000000007E-2"/>
    <s v="Spotify All-Time Most Streamed Top 100"/>
  </r>
  <r>
    <n v="75"/>
    <x v="74"/>
    <x v="58"/>
    <n v="2.7"/>
    <s v="Pop"/>
    <n v="97"/>
    <n v="2022"/>
    <s v="USA"/>
    <b v="0"/>
    <n v="0.62"/>
    <n v="0.62"/>
    <n v="0.44"/>
    <n v="0.14000000000000001"/>
    <s v="Spotify All-Time Most Streamed Top 100"/>
  </r>
  <r>
    <n v="76"/>
    <x v="75"/>
    <x v="59"/>
    <n v="1.86"/>
    <s v="Pop"/>
    <n v="107"/>
    <n v="2020"/>
    <s v="NZ/USA"/>
    <b v="0"/>
    <n v="0.76"/>
    <n v="0.69"/>
    <n v="0.65"/>
    <n v="0.01"/>
    <s v="Spotify All-Time Most Streamed Top 100"/>
  </r>
  <r>
    <n v="77"/>
    <x v="76"/>
    <x v="60"/>
    <n v="1.66"/>
    <s v="K-Pop/Pop"/>
    <n v="145"/>
    <n v="2024"/>
    <s v="South Korea"/>
    <b v="0"/>
    <n v="0.86"/>
    <n v="0.79"/>
    <n v="0.88"/>
    <n v="0.05"/>
    <s v="Spotify All-Time Most Streamed Top 100"/>
  </r>
  <r>
    <n v="78"/>
    <x v="77"/>
    <x v="61"/>
    <n v="1.78"/>
    <s v="Alt Rock"/>
    <n v="64"/>
    <n v="2006"/>
    <s v="USA"/>
    <b v="0"/>
    <n v="0.31"/>
    <n v="0.85"/>
    <n v="0.12"/>
    <n v="0"/>
    <s v="Spotify All-Time Most Streamed Top 100"/>
  </r>
  <r>
    <n v="79"/>
    <x v="78"/>
    <x v="62"/>
    <n v="1.72"/>
    <s v="Alt Rock"/>
    <n v="77"/>
    <n v="1998"/>
    <s v="USA"/>
    <b v="0"/>
    <n v="0.33"/>
    <n v="0.28000000000000003"/>
    <n v="0.14000000000000001"/>
    <n v="0.57999999999999996"/>
    <s v="Spotify All-Time Most Streamed Top 100"/>
  </r>
  <r>
    <n v="80"/>
    <x v="79"/>
    <x v="63"/>
    <n v="1.7"/>
    <s v="Hip-Hop"/>
    <n v="145"/>
    <n v="2019"/>
    <s v="Australia"/>
    <b v="0"/>
    <n v="0.72"/>
    <n v="0.79"/>
    <n v="0.38"/>
    <n v="0.04"/>
    <s v="Spotify All-Time Most Streamed Top 100"/>
  </r>
  <r>
    <n v="81"/>
    <x v="80"/>
    <x v="64"/>
    <n v="1.68"/>
    <s v="Country/Pop"/>
    <n v="106"/>
    <n v="2024"/>
    <s v="USA"/>
    <b v="0"/>
    <n v="0.72"/>
    <n v="0.65"/>
    <n v="0.72"/>
    <n v="0.14000000000000001"/>
    <s v="Spotify All-Time Most Streamed Top 100"/>
  </r>
  <r>
    <n v="82"/>
    <x v="81"/>
    <x v="65"/>
    <n v="1.65"/>
    <s v="R&amp;B/Soul"/>
    <n v="90"/>
    <n v="2023"/>
    <s v="USA"/>
    <b v="0"/>
    <n v="0.6"/>
    <n v="0.55000000000000004"/>
    <n v="0.64"/>
    <n v="0.21"/>
    <s v="Spotify All-Time Most Streamed Top 100"/>
  </r>
  <r>
    <n v="83"/>
    <x v="82"/>
    <x v="66"/>
    <n v="1.63"/>
    <s v="Indie Folk"/>
    <n v="86"/>
    <n v="2024"/>
    <s v="Ireland"/>
    <b v="0"/>
    <n v="0.62"/>
    <n v="0.48"/>
    <n v="0.68"/>
    <n v="0.42"/>
    <s v="Spotify All-Time Most Streamed Top 100"/>
  </r>
  <r>
    <n v="84"/>
    <x v="83"/>
    <x v="11"/>
    <n v="2.0499999999999998"/>
    <s v="Art Rock"/>
    <n v="90"/>
    <n v="2017"/>
    <s v="UK"/>
    <b v="0"/>
    <n v="0.3"/>
    <n v="0.53"/>
    <n v="0.1"/>
    <n v="0.2"/>
    <s v="Spotify All-Time Most Streamed Top 100"/>
  </r>
  <r>
    <n v="85"/>
    <x v="84"/>
    <x v="11"/>
    <n v="1.9"/>
    <s v="Indie Pop"/>
    <n v="108"/>
    <n v="2019"/>
    <s v="UK"/>
    <b v="0"/>
    <n v="0.56000000000000005"/>
    <n v="0.76"/>
    <n v="0.66"/>
    <n v="0.04"/>
    <s v="Spotify All-Time Most Streamed Top 100"/>
  </r>
  <r>
    <n v="86"/>
    <x v="85"/>
    <x v="67"/>
    <n v="1.88"/>
    <s v="Indie Pop"/>
    <n v="86"/>
    <n v="2019"/>
    <s v="Netherlands"/>
    <b v="0"/>
    <n v="0.34"/>
    <n v="0.3"/>
    <n v="0.1"/>
    <n v="0.52"/>
    <s v="Spotify All-Time Most Streamed Top 100"/>
  </r>
  <r>
    <n v="87"/>
    <x v="86"/>
    <x v="68"/>
    <n v="1.42"/>
    <s v="Hip-Hop/Pop"/>
    <n v="80"/>
    <n v="2015"/>
    <s v="USA"/>
    <b v="0"/>
    <n v="0.53"/>
    <n v="0.37"/>
    <n v="0.48"/>
    <n v="0.42"/>
    <s v="Spotify All-Time Most Streamed Top 100"/>
  </r>
  <r>
    <n v="88"/>
    <x v="87"/>
    <x v="69"/>
    <n v="1.44"/>
    <s v="Pop"/>
    <n v="107"/>
    <n v="2017"/>
    <s v="USA"/>
    <b v="1"/>
    <n v="0.78"/>
    <n v="0.68"/>
    <n v="0.6"/>
    <n v="0.06"/>
    <s v="Spotify All-Time Most Streamed Top 100"/>
  </r>
  <r>
    <n v="89"/>
    <x v="88"/>
    <x v="57"/>
    <n v="1.68"/>
    <s v="Pop"/>
    <n v="80"/>
    <n v="2023"/>
    <s v="USA"/>
    <b v="0"/>
    <n v="0.51"/>
    <n v="0.44"/>
    <n v="0.42"/>
    <n v="0.28000000000000003"/>
    <s v="Spotify All-Time Most Streamed Top 100"/>
  </r>
  <r>
    <n v="90"/>
    <x v="89"/>
    <x v="70"/>
    <n v="2.23"/>
    <s v="Pop/R&amp;B"/>
    <n v="115"/>
    <n v="2021"/>
    <s v="USA"/>
    <b v="0"/>
    <n v="0.78"/>
    <n v="0.66"/>
    <n v="0.8"/>
    <n v="0.02"/>
    <s v="Spotify All-Time Most Streamed Top 100"/>
  </r>
  <r>
    <n v="91"/>
    <x v="90"/>
    <x v="71"/>
    <n v="1.6"/>
    <s v="Indie Rock"/>
    <n v="139"/>
    <n v="2022"/>
    <s v="USA"/>
    <b v="0"/>
    <n v="0.52"/>
    <n v="0.64"/>
    <n v="0.44"/>
    <n v="0.1"/>
    <s v="Spotify All-Time Most Streamed Top 100"/>
  </r>
  <r>
    <n v="92"/>
    <x v="91"/>
    <x v="72"/>
    <n v="1.54"/>
    <s v="Indie Pop"/>
    <n v="104"/>
    <n v="2013"/>
    <s v="New Zealand"/>
    <b v="0"/>
    <n v="0.38"/>
    <n v="0.44"/>
    <n v="0.22"/>
    <n v="0.3"/>
    <s v="Spotify All-Time Most Streamed Top 100"/>
  </r>
  <r>
    <n v="93"/>
    <x v="92"/>
    <x v="73"/>
    <n v="1.46"/>
    <s v="Pop Rock"/>
    <n v="139"/>
    <n v="1996"/>
    <s v="Germany"/>
    <b v="0"/>
    <n v="0.74"/>
    <n v="0.76"/>
    <n v="0.86"/>
    <n v="0.38"/>
    <s v="Spotify All-Time Most Streamed Top 100"/>
  </r>
  <r>
    <n v="94"/>
    <x v="93"/>
    <x v="74"/>
    <n v="1.62"/>
    <s v="Alt Rock"/>
    <n v="154"/>
    <n v="2001"/>
    <s v="UK"/>
    <b v="0"/>
    <n v="0.44"/>
    <n v="0.82"/>
    <n v="0.44"/>
    <n v="0.04"/>
    <s v="Spotify All-Time Most Streamed Top 100"/>
  </r>
  <r>
    <n v="95"/>
    <x v="94"/>
    <x v="75"/>
    <n v="1.58"/>
    <s v="Pop"/>
    <n v="90"/>
    <n v="2023"/>
    <s v="Netherlands"/>
    <b v="0"/>
    <n v="0.66"/>
    <n v="0.54"/>
    <n v="0.76"/>
    <n v="0.22"/>
    <s v="Spotify All-Time Most Streamed Top 100"/>
  </r>
  <r>
    <n v="96"/>
    <x v="95"/>
    <x v="76"/>
    <n v="1.92"/>
    <s v="EDM/Pop"/>
    <n v="143"/>
    <n v="2018"/>
    <s v="UK"/>
    <b v="0"/>
    <n v="0.76"/>
    <n v="0.88"/>
    <n v="0.72"/>
    <n v="0"/>
    <s v="Spotify All-Time Most Streamed Top 100"/>
  </r>
  <r>
    <n v="97"/>
    <x v="96"/>
    <x v="77"/>
    <n v="1.44"/>
    <s v="Synth-Pop"/>
    <n v="171"/>
    <n v="2020"/>
    <s v="Canada/Spain"/>
    <b v="0"/>
    <n v="0.54"/>
    <n v="0.8"/>
    <n v="0.36"/>
    <n v="0.01"/>
    <s v="Spotify All-Time Most Streamed Top 100"/>
  </r>
  <r>
    <n v="98"/>
    <x v="97"/>
    <x v="78"/>
    <n v="1.56"/>
    <s v="Indie Pop"/>
    <n v="150"/>
    <n v="2018"/>
    <s v="USA"/>
    <b v="0"/>
    <n v="0.64"/>
    <n v="0.42"/>
    <n v="0.72"/>
    <n v="0.38"/>
    <s v="Spotify All-Time Most Streamed Top 100"/>
  </r>
  <r>
    <n v="99"/>
    <x v="98"/>
    <x v="79"/>
    <n v="3.05"/>
    <s v="Hip-Hop"/>
    <n v="142"/>
    <n v="2020"/>
    <s v="Canada"/>
    <b v="1"/>
    <n v="0.82"/>
    <n v="0.62"/>
    <n v="0.55000000000000004"/>
    <n v="0.02"/>
    <s v="Spotify All-Time Most Streamed Top 100"/>
  </r>
  <r>
    <n v="100"/>
    <x v="99"/>
    <x v="25"/>
    <n v="1.6"/>
    <s v="Pop"/>
    <n v="160"/>
    <n v="2014"/>
    <s v="USA"/>
    <b v="0"/>
    <n v="0.65"/>
    <n v="0.8"/>
    <n v="0.94"/>
    <n v="0.06"/>
    <s v="Spotify All-Time Most Streamed Top 100"/>
  </r>
  <r>
    <m/>
    <x v="100"/>
    <x v="80"/>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8430CD6-FAA7-48C6-A842-A3A1AD287D81}" name="PivotTable2"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I21:K31" firstHeaderRow="1" firstDataRow="1" firstDataCol="2"/>
  <pivotFields count="14">
    <pivotField compact="0" outline="0" showAll="0" defaultSubtotal="0">
      <extLst>
        <ext xmlns:x14="http://schemas.microsoft.com/office/spreadsheetml/2009/9/main" uri="{2946ED86-A175-432a-8AC1-64E0C546D7DE}">
          <x14:pivotField fillDownLabels="1"/>
        </ext>
      </extLst>
    </pivotField>
    <pivotField axis="axisRow" compact="0" outline="0" showAll="0" measureFilter="1" sortType="descending" defaultSubtotal="0">
      <items count="101">
        <item x="48"/>
        <item x="71"/>
        <item x="84"/>
        <item x="45"/>
        <item x="27"/>
        <item x="76"/>
        <item x="85"/>
        <item x="20"/>
        <item x="79"/>
        <item x="87"/>
        <item x="15"/>
        <item x="53"/>
        <item x="73"/>
        <item x="6"/>
        <item x="0"/>
        <item x="96"/>
        <item x="93"/>
        <item x="54"/>
        <item x="26"/>
        <item x="17"/>
        <item x="25"/>
        <item x="23"/>
        <item x="33"/>
        <item x="8"/>
        <item x="34"/>
        <item x="29"/>
        <item x="49"/>
        <item x="16"/>
        <item x="21"/>
        <item x="36"/>
        <item x="95"/>
        <item x="90"/>
        <item x="40"/>
        <item x="51"/>
        <item x="97"/>
        <item x="22"/>
        <item x="69"/>
        <item x="44"/>
        <item x="47"/>
        <item x="9"/>
        <item x="35"/>
        <item x="14"/>
        <item x="59"/>
        <item x="56"/>
        <item x="88"/>
        <item x="78"/>
        <item x="89"/>
        <item x="98"/>
        <item x="92"/>
        <item x="80"/>
        <item x="13"/>
        <item x="81"/>
        <item x="37"/>
        <item x="62"/>
        <item x="30"/>
        <item x="24"/>
        <item x="18"/>
        <item x="74"/>
        <item x="60"/>
        <item x="55"/>
        <item x="43"/>
        <item x="38"/>
        <item x="4"/>
        <item x="50"/>
        <item x="12"/>
        <item x="61"/>
        <item x="65"/>
        <item x="41"/>
        <item x="91"/>
        <item x="57"/>
        <item x="7"/>
        <item x="66"/>
        <item x="42"/>
        <item x="75"/>
        <item x="28"/>
        <item x="86"/>
        <item x="10"/>
        <item x="99"/>
        <item x="19"/>
        <item x="1"/>
        <item x="83"/>
        <item x="39"/>
        <item x="2"/>
        <item x="64"/>
        <item x="46"/>
        <item x="5"/>
        <item x="94"/>
        <item x="3"/>
        <item x="72"/>
        <item x="32"/>
        <item x="67"/>
        <item x="52"/>
        <item x="82"/>
        <item x="70"/>
        <item x="31"/>
        <item x="11"/>
        <item x="58"/>
        <item x="77"/>
        <item x="63"/>
        <item x="68"/>
        <item x="100"/>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axis="axisRow" compact="0" outline="0" showAll="0" measureFilter="1" defaultSubtotal="0">
      <items count="81">
        <item x="49"/>
        <item x="31"/>
        <item x="41"/>
        <item x="57"/>
        <item x="64"/>
        <item x="14"/>
        <item x="26"/>
        <item x="19"/>
        <item x="30"/>
        <item x="69"/>
        <item x="48"/>
        <item x="75"/>
        <item x="71"/>
        <item x="70"/>
        <item x="4"/>
        <item x="79"/>
        <item x="12"/>
        <item x="67"/>
        <item x="1"/>
        <item x="58"/>
        <item x="32"/>
        <item x="73"/>
        <item x="55"/>
        <item x="13"/>
        <item x="62"/>
        <item x="50"/>
        <item x="11"/>
        <item x="66"/>
        <item x="6"/>
        <item x="59"/>
        <item x="22"/>
        <item x="43"/>
        <item x="53"/>
        <item x="47"/>
        <item x="36"/>
        <item x="37"/>
        <item x="18"/>
        <item x="42"/>
        <item x="2"/>
        <item x="33"/>
        <item x="72"/>
        <item x="29"/>
        <item x="38"/>
        <item x="27"/>
        <item x="17"/>
        <item x="9"/>
        <item x="63"/>
        <item x="20"/>
        <item x="74"/>
        <item x="61"/>
        <item x="56"/>
        <item x="34"/>
        <item x="15"/>
        <item x="44"/>
        <item x="21"/>
        <item x="45"/>
        <item x="78"/>
        <item x="16"/>
        <item x="3"/>
        <item x="7"/>
        <item x="24"/>
        <item x="60"/>
        <item x="35"/>
        <item x="52"/>
        <item x="10"/>
        <item x="54"/>
        <item x="76"/>
        <item x="25"/>
        <item x="65"/>
        <item x="51"/>
        <item x="23"/>
        <item x="5"/>
        <item x="28"/>
        <item x="0"/>
        <item x="77"/>
        <item x="39"/>
        <item x="8"/>
        <item x="40"/>
        <item x="46"/>
        <item x="68"/>
        <item x="80"/>
      </items>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2">
    <field x="1"/>
    <field x="2"/>
  </rowFields>
  <rowItems count="10">
    <i>
      <x v="14"/>
      <x v="73"/>
    </i>
    <i>
      <x v="79"/>
      <x v="18"/>
    </i>
    <i>
      <x v="82"/>
      <x v="38"/>
    </i>
    <i>
      <x v="87"/>
      <x v="58"/>
    </i>
    <i>
      <x v="62"/>
      <x v="14"/>
    </i>
    <i>
      <x v="85"/>
      <x v="71"/>
    </i>
    <i>
      <x v="13"/>
      <x v="28"/>
    </i>
    <i>
      <x v="70"/>
      <x v="59"/>
    </i>
    <i>
      <x v="23"/>
      <x v="76"/>
    </i>
    <i>
      <x v="39"/>
      <x v="45"/>
    </i>
  </rowItems>
  <colItems count="1">
    <i/>
  </colItems>
  <dataFields count="1">
    <dataField name="Sum of total_streams_billions" fld="3" baseField="0" baseItem="0"/>
  </dataFields>
  <pivotTableStyleInfo name="PivotStyleLight16" showRowHeaders="1" showColHeaders="1" showRowStripes="0" showColStripes="0" showLastColumn="1"/>
  <filters count="2">
    <filter fld="2" type="count" evalOrder="-1" id="4" iMeasureFld="0">
      <autoFilter ref="A1">
        <filterColumn colId="0">
          <top10 val="10" filterVal="10"/>
        </filterColumn>
      </autoFilter>
    </filter>
    <filter fld="1"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192284-9BB7-4C27-B9DB-826DD9BE2755}"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Genre">
  <location ref="D3:E12" firstHeaderRow="1" firstDataRow="1" firstDataCol="1"/>
  <pivotFields count="16">
    <pivotField showAll="0"/>
    <pivotField showAll="0"/>
    <pivotField showAll="0">
      <items count="81">
        <item x="49"/>
        <item x="31"/>
        <item x="41"/>
        <item x="57"/>
        <item x="64"/>
        <item x="14"/>
        <item x="26"/>
        <item x="19"/>
        <item x="30"/>
        <item x="69"/>
        <item x="48"/>
        <item x="75"/>
        <item x="71"/>
        <item x="70"/>
        <item x="4"/>
        <item x="79"/>
        <item x="12"/>
        <item x="67"/>
        <item x="1"/>
        <item x="58"/>
        <item x="32"/>
        <item x="73"/>
        <item x="55"/>
        <item x="13"/>
        <item x="62"/>
        <item x="50"/>
        <item x="11"/>
        <item x="66"/>
        <item x="6"/>
        <item x="59"/>
        <item x="22"/>
        <item x="43"/>
        <item x="53"/>
        <item x="47"/>
        <item x="36"/>
        <item x="37"/>
        <item x="18"/>
        <item x="42"/>
        <item x="2"/>
        <item x="33"/>
        <item x="72"/>
        <item x="29"/>
        <item x="38"/>
        <item x="27"/>
        <item x="17"/>
        <item x="9"/>
        <item x="63"/>
        <item x="20"/>
        <item x="74"/>
        <item x="61"/>
        <item x="56"/>
        <item x="34"/>
        <item x="15"/>
        <item x="44"/>
        <item x="21"/>
        <item x="45"/>
        <item x="78"/>
        <item x="16"/>
        <item x="3"/>
        <item x="7"/>
        <item x="24"/>
        <item x="60"/>
        <item x="35"/>
        <item x="52"/>
        <item x="10"/>
        <item x="54"/>
        <item x="76"/>
        <item x="25"/>
        <item x="65"/>
        <item x="51"/>
        <item x="23"/>
        <item x="5"/>
        <item x="28"/>
        <item x="0"/>
        <item x="77"/>
        <item x="39"/>
        <item x="8"/>
        <item x="40"/>
        <item x="46"/>
        <item x="68"/>
        <item t="default"/>
      </items>
    </pivotField>
    <pivotField dataField="1" showAll="0"/>
    <pivotField axis="axisRow" showAll="0" sortType="descending">
      <items count="40">
        <item x="32"/>
        <item x="4"/>
        <item x="5"/>
        <item x="24"/>
        <item x="37"/>
        <item x="30"/>
        <item x="35"/>
        <item x="7"/>
        <item x="12"/>
        <item x="17"/>
        <item x="31"/>
        <item x="19"/>
        <item x="23"/>
        <item x="6"/>
        <item x="3"/>
        <item x="26"/>
        <item x="29"/>
        <item x="9"/>
        <item x="20"/>
        <item x="34"/>
        <item x="8"/>
        <item x="11"/>
        <item x="2"/>
        <item x="25"/>
        <item x="13"/>
        <item x="16"/>
        <item x="14"/>
        <item x="1"/>
        <item x="10"/>
        <item x="15"/>
        <item x="38"/>
        <item x="22"/>
        <item x="18"/>
        <item x="28"/>
        <item x="36"/>
        <item x="21"/>
        <item x="33"/>
        <item x="0"/>
        <item x="27"/>
        <item t="default"/>
      </items>
      <autoSortScope>
        <pivotArea dataOnly="0" outline="0" fieldPosition="0">
          <references count="1">
            <reference field="4294967294" count="1" selected="0">
              <x v="0"/>
            </reference>
          </references>
        </pivotArea>
      </autoSortScope>
    </pivotField>
    <pivotField showAll="0"/>
    <pivotField showAll="0"/>
    <pivotField showAll="0">
      <items count="18">
        <item x="3"/>
        <item x="0"/>
        <item x="5"/>
        <item x="16"/>
        <item x="9"/>
        <item x="15"/>
        <item x="10"/>
        <item x="12"/>
        <item x="13"/>
        <item x="14"/>
        <item x="7"/>
        <item x="11"/>
        <item x="8"/>
        <item x="6"/>
        <item x="1"/>
        <item x="2"/>
        <item x="4"/>
        <item t="default"/>
      </items>
    </pivotField>
    <pivotField showAll="0">
      <items count="3">
        <item x="0"/>
        <item x="1"/>
        <item t="default"/>
      </items>
    </pivotField>
    <pivotField showAll="0"/>
    <pivotField showAll="0"/>
    <pivotField showAll="0"/>
    <pivotField showAll="0"/>
    <pivotField showAll="0"/>
    <pivotField axis="axisRow" showAll="0">
      <items count="9">
        <item n="Others" sd="0" x="7"/>
        <item sd="0" x="2"/>
        <item sd="0" x="4"/>
        <item sd="0" x="3"/>
        <item sd="0" x="5"/>
        <item sd="0" x="1"/>
        <item sd="0" x="6"/>
        <item sd="0" x="0"/>
        <item t="default" sd="0"/>
      </items>
    </pivotField>
    <pivotField showAll="0">
      <items count="9">
        <item x="3"/>
        <item x="0"/>
        <item x="5"/>
        <item x="7"/>
        <item x="6"/>
        <item x="1"/>
        <item x="2"/>
        <item x="4"/>
        <item t="default"/>
      </items>
    </pivotField>
  </pivotFields>
  <rowFields count="2">
    <field x="14"/>
    <field x="4"/>
  </rowFields>
  <rowItems count="9">
    <i>
      <x/>
    </i>
    <i>
      <x v="1"/>
    </i>
    <i>
      <x v="2"/>
    </i>
    <i>
      <x v="3"/>
    </i>
    <i>
      <x v="4"/>
    </i>
    <i>
      <x v="5"/>
    </i>
    <i>
      <x v="6"/>
    </i>
    <i>
      <x v="7"/>
    </i>
    <i t="grand">
      <x/>
    </i>
  </rowItems>
  <colItems count="1">
    <i/>
  </colItems>
  <dataFields count="1">
    <dataField name="Total Streams billions" fld="3" baseField="4" baseItem="0"/>
  </dataFields>
  <chartFormats count="49">
    <chartFormat chart="0" format="0" series="1">
      <pivotArea type="data" outline="0" fieldPosition="0">
        <references count="1">
          <reference field="4294967294" count="1" selected="0">
            <x v="0"/>
          </reference>
        </references>
      </pivotArea>
    </chartFormat>
    <chartFormat chart="4" format="41" series="1">
      <pivotArea type="data" outline="0" fieldPosition="0">
        <references count="1">
          <reference field="4294967294" count="1" selected="0">
            <x v="0"/>
          </reference>
        </references>
      </pivotArea>
    </chartFormat>
    <chartFormat chart="4" format="42">
      <pivotArea type="data" outline="0" fieldPosition="0">
        <references count="2">
          <reference field="4294967294" count="1" selected="0">
            <x v="0"/>
          </reference>
          <reference field="4" count="1" selected="0">
            <x v="0"/>
          </reference>
        </references>
      </pivotArea>
    </chartFormat>
    <chartFormat chart="4" format="43">
      <pivotArea type="data" outline="0" fieldPosition="0">
        <references count="2">
          <reference field="4294967294" count="1" selected="0">
            <x v="0"/>
          </reference>
          <reference field="4" count="1" selected="0">
            <x v="1"/>
          </reference>
        </references>
      </pivotArea>
    </chartFormat>
    <chartFormat chart="4" format="44">
      <pivotArea type="data" outline="0" fieldPosition="0">
        <references count="2">
          <reference field="4294967294" count="1" selected="0">
            <x v="0"/>
          </reference>
          <reference field="4" count="1" selected="0">
            <x v="2"/>
          </reference>
        </references>
      </pivotArea>
    </chartFormat>
    <chartFormat chart="4" format="45">
      <pivotArea type="data" outline="0" fieldPosition="0">
        <references count="2">
          <reference field="4294967294" count="1" selected="0">
            <x v="0"/>
          </reference>
          <reference field="4" count="1" selected="0">
            <x v="3"/>
          </reference>
        </references>
      </pivotArea>
    </chartFormat>
    <chartFormat chart="4" format="46">
      <pivotArea type="data" outline="0" fieldPosition="0">
        <references count="2">
          <reference field="4294967294" count="1" selected="0">
            <x v="0"/>
          </reference>
          <reference field="4" count="1" selected="0">
            <x v="4"/>
          </reference>
        </references>
      </pivotArea>
    </chartFormat>
    <chartFormat chart="4" format="47">
      <pivotArea type="data" outline="0" fieldPosition="0">
        <references count="2">
          <reference field="4294967294" count="1" selected="0">
            <x v="0"/>
          </reference>
          <reference field="4" count="1" selected="0">
            <x v="5"/>
          </reference>
        </references>
      </pivotArea>
    </chartFormat>
    <chartFormat chart="4" format="48">
      <pivotArea type="data" outline="0" fieldPosition="0">
        <references count="2">
          <reference field="4294967294" count="1" selected="0">
            <x v="0"/>
          </reference>
          <reference field="4" count="1" selected="0">
            <x v="6"/>
          </reference>
        </references>
      </pivotArea>
    </chartFormat>
    <chartFormat chart="4" format="49">
      <pivotArea type="data" outline="0" fieldPosition="0">
        <references count="2">
          <reference field="4294967294" count="1" selected="0">
            <x v="0"/>
          </reference>
          <reference field="4" count="1" selected="0">
            <x v="7"/>
          </reference>
        </references>
      </pivotArea>
    </chartFormat>
    <chartFormat chart="4" format="50">
      <pivotArea type="data" outline="0" fieldPosition="0">
        <references count="2">
          <reference field="4294967294" count="1" selected="0">
            <x v="0"/>
          </reference>
          <reference field="4" count="1" selected="0">
            <x v="8"/>
          </reference>
        </references>
      </pivotArea>
    </chartFormat>
    <chartFormat chart="4" format="51">
      <pivotArea type="data" outline="0" fieldPosition="0">
        <references count="2">
          <reference field="4294967294" count="1" selected="0">
            <x v="0"/>
          </reference>
          <reference field="4" count="1" selected="0">
            <x v="9"/>
          </reference>
        </references>
      </pivotArea>
    </chartFormat>
    <chartFormat chart="4" format="52">
      <pivotArea type="data" outline="0" fieldPosition="0">
        <references count="2">
          <reference field="4294967294" count="1" selected="0">
            <x v="0"/>
          </reference>
          <reference field="4" count="1" selected="0">
            <x v="10"/>
          </reference>
        </references>
      </pivotArea>
    </chartFormat>
    <chartFormat chart="4" format="53">
      <pivotArea type="data" outline="0" fieldPosition="0">
        <references count="2">
          <reference field="4294967294" count="1" selected="0">
            <x v="0"/>
          </reference>
          <reference field="4" count="1" selected="0">
            <x v="11"/>
          </reference>
        </references>
      </pivotArea>
    </chartFormat>
    <chartFormat chart="4" format="54">
      <pivotArea type="data" outline="0" fieldPosition="0">
        <references count="2">
          <reference field="4294967294" count="1" selected="0">
            <x v="0"/>
          </reference>
          <reference field="4" count="1" selected="0">
            <x v="12"/>
          </reference>
        </references>
      </pivotArea>
    </chartFormat>
    <chartFormat chart="4" format="55">
      <pivotArea type="data" outline="0" fieldPosition="0">
        <references count="2">
          <reference field="4294967294" count="1" selected="0">
            <x v="0"/>
          </reference>
          <reference field="4" count="1" selected="0">
            <x v="13"/>
          </reference>
        </references>
      </pivotArea>
    </chartFormat>
    <chartFormat chart="4" format="56">
      <pivotArea type="data" outline="0" fieldPosition="0">
        <references count="2">
          <reference field="4294967294" count="1" selected="0">
            <x v="0"/>
          </reference>
          <reference field="4" count="1" selected="0">
            <x v="14"/>
          </reference>
        </references>
      </pivotArea>
    </chartFormat>
    <chartFormat chart="4" format="57">
      <pivotArea type="data" outline="0" fieldPosition="0">
        <references count="2">
          <reference field="4294967294" count="1" selected="0">
            <x v="0"/>
          </reference>
          <reference field="4" count="1" selected="0">
            <x v="15"/>
          </reference>
        </references>
      </pivotArea>
    </chartFormat>
    <chartFormat chart="4" format="58">
      <pivotArea type="data" outline="0" fieldPosition="0">
        <references count="2">
          <reference field="4294967294" count="1" selected="0">
            <x v="0"/>
          </reference>
          <reference field="4" count="1" selected="0">
            <x v="16"/>
          </reference>
        </references>
      </pivotArea>
    </chartFormat>
    <chartFormat chart="4" format="59">
      <pivotArea type="data" outline="0" fieldPosition="0">
        <references count="2">
          <reference field="4294967294" count="1" selected="0">
            <x v="0"/>
          </reference>
          <reference field="4" count="1" selected="0">
            <x v="17"/>
          </reference>
        </references>
      </pivotArea>
    </chartFormat>
    <chartFormat chart="4" format="60">
      <pivotArea type="data" outline="0" fieldPosition="0">
        <references count="2">
          <reference field="4294967294" count="1" selected="0">
            <x v="0"/>
          </reference>
          <reference field="4" count="1" selected="0">
            <x v="18"/>
          </reference>
        </references>
      </pivotArea>
    </chartFormat>
    <chartFormat chart="4" format="61">
      <pivotArea type="data" outline="0" fieldPosition="0">
        <references count="2">
          <reference field="4294967294" count="1" selected="0">
            <x v="0"/>
          </reference>
          <reference field="4" count="1" selected="0">
            <x v="19"/>
          </reference>
        </references>
      </pivotArea>
    </chartFormat>
    <chartFormat chart="4" format="62">
      <pivotArea type="data" outline="0" fieldPosition="0">
        <references count="2">
          <reference field="4294967294" count="1" selected="0">
            <x v="0"/>
          </reference>
          <reference field="4" count="1" selected="0">
            <x v="20"/>
          </reference>
        </references>
      </pivotArea>
    </chartFormat>
    <chartFormat chart="4" format="63">
      <pivotArea type="data" outline="0" fieldPosition="0">
        <references count="2">
          <reference field="4294967294" count="1" selected="0">
            <x v="0"/>
          </reference>
          <reference field="4" count="1" selected="0">
            <x v="21"/>
          </reference>
        </references>
      </pivotArea>
    </chartFormat>
    <chartFormat chart="4" format="64">
      <pivotArea type="data" outline="0" fieldPosition="0">
        <references count="2">
          <reference field="4294967294" count="1" selected="0">
            <x v="0"/>
          </reference>
          <reference field="4" count="1" selected="0">
            <x v="22"/>
          </reference>
        </references>
      </pivotArea>
    </chartFormat>
    <chartFormat chart="4" format="65">
      <pivotArea type="data" outline="0" fieldPosition="0">
        <references count="2">
          <reference field="4294967294" count="1" selected="0">
            <x v="0"/>
          </reference>
          <reference field="4" count="1" selected="0">
            <x v="23"/>
          </reference>
        </references>
      </pivotArea>
    </chartFormat>
    <chartFormat chart="4" format="66">
      <pivotArea type="data" outline="0" fieldPosition="0">
        <references count="2">
          <reference field="4294967294" count="1" selected="0">
            <x v="0"/>
          </reference>
          <reference field="4" count="1" selected="0">
            <x v="24"/>
          </reference>
        </references>
      </pivotArea>
    </chartFormat>
    <chartFormat chart="4" format="67">
      <pivotArea type="data" outline="0" fieldPosition="0">
        <references count="2">
          <reference field="4294967294" count="1" selected="0">
            <x v="0"/>
          </reference>
          <reference field="4" count="1" selected="0">
            <x v="25"/>
          </reference>
        </references>
      </pivotArea>
    </chartFormat>
    <chartFormat chart="4" format="68">
      <pivotArea type="data" outline="0" fieldPosition="0">
        <references count="2">
          <reference field="4294967294" count="1" selected="0">
            <x v="0"/>
          </reference>
          <reference field="4" count="1" selected="0">
            <x v="26"/>
          </reference>
        </references>
      </pivotArea>
    </chartFormat>
    <chartFormat chart="4" format="69">
      <pivotArea type="data" outline="0" fieldPosition="0">
        <references count="2">
          <reference field="4294967294" count="1" selected="0">
            <x v="0"/>
          </reference>
          <reference field="4" count="1" selected="0">
            <x v="27"/>
          </reference>
        </references>
      </pivotArea>
    </chartFormat>
    <chartFormat chart="4" format="70">
      <pivotArea type="data" outline="0" fieldPosition="0">
        <references count="2">
          <reference field="4294967294" count="1" selected="0">
            <x v="0"/>
          </reference>
          <reference field="4" count="1" selected="0">
            <x v="28"/>
          </reference>
        </references>
      </pivotArea>
    </chartFormat>
    <chartFormat chart="4" format="71">
      <pivotArea type="data" outline="0" fieldPosition="0">
        <references count="2">
          <reference field="4294967294" count="1" selected="0">
            <x v="0"/>
          </reference>
          <reference field="4" count="1" selected="0">
            <x v="29"/>
          </reference>
        </references>
      </pivotArea>
    </chartFormat>
    <chartFormat chart="4" format="72">
      <pivotArea type="data" outline="0" fieldPosition="0">
        <references count="2">
          <reference field="4294967294" count="1" selected="0">
            <x v="0"/>
          </reference>
          <reference field="4" count="1" selected="0">
            <x v="30"/>
          </reference>
        </references>
      </pivotArea>
    </chartFormat>
    <chartFormat chart="4" format="73">
      <pivotArea type="data" outline="0" fieldPosition="0">
        <references count="2">
          <reference field="4294967294" count="1" selected="0">
            <x v="0"/>
          </reference>
          <reference field="4" count="1" selected="0">
            <x v="31"/>
          </reference>
        </references>
      </pivotArea>
    </chartFormat>
    <chartFormat chart="4" format="74">
      <pivotArea type="data" outline="0" fieldPosition="0">
        <references count="2">
          <reference field="4294967294" count="1" selected="0">
            <x v="0"/>
          </reference>
          <reference field="4" count="1" selected="0">
            <x v="32"/>
          </reference>
        </references>
      </pivotArea>
    </chartFormat>
    <chartFormat chart="4" format="75">
      <pivotArea type="data" outline="0" fieldPosition="0">
        <references count="2">
          <reference field="4294967294" count="1" selected="0">
            <x v="0"/>
          </reference>
          <reference field="4" count="1" selected="0">
            <x v="33"/>
          </reference>
        </references>
      </pivotArea>
    </chartFormat>
    <chartFormat chart="4" format="76">
      <pivotArea type="data" outline="0" fieldPosition="0">
        <references count="2">
          <reference field="4294967294" count="1" selected="0">
            <x v="0"/>
          </reference>
          <reference field="4" count="1" selected="0">
            <x v="34"/>
          </reference>
        </references>
      </pivotArea>
    </chartFormat>
    <chartFormat chart="4" format="77">
      <pivotArea type="data" outline="0" fieldPosition="0">
        <references count="2">
          <reference field="4294967294" count="1" selected="0">
            <x v="0"/>
          </reference>
          <reference field="4" count="1" selected="0">
            <x v="35"/>
          </reference>
        </references>
      </pivotArea>
    </chartFormat>
    <chartFormat chart="4" format="78">
      <pivotArea type="data" outline="0" fieldPosition="0">
        <references count="2">
          <reference field="4294967294" count="1" selected="0">
            <x v="0"/>
          </reference>
          <reference field="4" count="1" selected="0">
            <x v="36"/>
          </reference>
        </references>
      </pivotArea>
    </chartFormat>
    <chartFormat chart="4" format="79">
      <pivotArea type="data" outline="0" fieldPosition="0">
        <references count="2">
          <reference field="4294967294" count="1" selected="0">
            <x v="0"/>
          </reference>
          <reference field="4" count="1" selected="0">
            <x v="37"/>
          </reference>
        </references>
      </pivotArea>
    </chartFormat>
    <chartFormat chart="4" format="80">
      <pivotArea type="data" outline="0" fieldPosition="0">
        <references count="2">
          <reference field="4294967294" count="1" selected="0">
            <x v="0"/>
          </reference>
          <reference field="4" count="1" selected="0">
            <x v="38"/>
          </reference>
        </references>
      </pivotArea>
    </chartFormat>
    <chartFormat chart="4" format="81">
      <pivotArea type="data" outline="0" fieldPosition="0">
        <references count="2">
          <reference field="4294967294" count="1" selected="0">
            <x v="0"/>
          </reference>
          <reference field="14" count="1" selected="0">
            <x v="0"/>
          </reference>
        </references>
      </pivotArea>
    </chartFormat>
    <chartFormat chart="4" format="82">
      <pivotArea type="data" outline="0" fieldPosition="0">
        <references count="2">
          <reference field="4294967294" count="1" selected="0">
            <x v="0"/>
          </reference>
          <reference field="14" count="1" selected="0">
            <x v="1"/>
          </reference>
        </references>
      </pivotArea>
    </chartFormat>
    <chartFormat chart="4" format="83">
      <pivotArea type="data" outline="0" fieldPosition="0">
        <references count="2">
          <reference field="4294967294" count="1" selected="0">
            <x v="0"/>
          </reference>
          <reference field="14" count="1" selected="0">
            <x v="2"/>
          </reference>
        </references>
      </pivotArea>
    </chartFormat>
    <chartFormat chart="4" format="84">
      <pivotArea type="data" outline="0" fieldPosition="0">
        <references count="2">
          <reference field="4294967294" count="1" selected="0">
            <x v="0"/>
          </reference>
          <reference field="14" count="1" selected="0">
            <x v="3"/>
          </reference>
        </references>
      </pivotArea>
    </chartFormat>
    <chartFormat chart="4" format="85">
      <pivotArea type="data" outline="0" fieldPosition="0">
        <references count="2">
          <reference field="4294967294" count="1" selected="0">
            <x v="0"/>
          </reference>
          <reference field="14" count="1" selected="0">
            <x v="4"/>
          </reference>
        </references>
      </pivotArea>
    </chartFormat>
    <chartFormat chart="4" format="86">
      <pivotArea type="data" outline="0" fieldPosition="0">
        <references count="2">
          <reference field="4294967294" count="1" selected="0">
            <x v="0"/>
          </reference>
          <reference field="14" count="1" selected="0">
            <x v="5"/>
          </reference>
        </references>
      </pivotArea>
    </chartFormat>
    <chartFormat chart="4" format="87">
      <pivotArea type="data" outline="0" fieldPosition="0">
        <references count="2">
          <reference field="4294967294" count="1" selected="0">
            <x v="0"/>
          </reference>
          <reference field="14" count="1" selected="0">
            <x v="6"/>
          </reference>
        </references>
      </pivotArea>
    </chartFormat>
    <chartFormat chart="4" format="88">
      <pivotArea type="data" outline="0" fieldPosition="0">
        <references count="2">
          <reference field="4294967294" count="1" selected="0">
            <x v="0"/>
          </reference>
          <reference field="14" count="1" selected="0">
            <x v="7"/>
          </reference>
        </references>
      </pivotArea>
    </chartFormat>
  </chartFormats>
  <pivotTableStyleInfo name="PivotStyleDark2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58F75D1-60F4-424A-A150-6BC354580BE1}"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Explicit">
  <location ref="A4:B7" firstHeaderRow="1" firstDataRow="1" firstDataCol="1"/>
  <pivotFields count="16">
    <pivotField showAll="0"/>
    <pivotField showAll="0"/>
    <pivotField showAll="0">
      <items count="81">
        <item x="49"/>
        <item x="31"/>
        <item x="41"/>
        <item x="57"/>
        <item x="64"/>
        <item x="14"/>
        <item x="26"/>
        <item x="19"/>
        <item x="30"/>
        <item x="69"/>
        <item x="48"/>
        <item x="75"/>
        <item x="71"/>
        <item x="70"/>
        <item x="4"/>
        <item x="79"/>
        <item x="12"/>
        <item x="67"/>
        <item x="1"/>
        <item x="58"/>
        <item x="32"/>
        <item x="73"/>
        <item x="55"/>
        <item x="13"/>
        <item x="62"/>
        <item x="50"/>
        <item x="11"/>
        <item x="66"/>
        <item x="6"/>
        <item x="59"/>
        <item x="22"/>
        <item x="43"/>
        <item x="53"/>
        <item x="47"/>
        <item x="36"/>
        <item x="37"/>
        <item x="18"/>
        <item x="42"/>
        <item x="2"/>
        <item x="33"/>
        <item x="72"/>
        <item x="29"/>
        <item x="38"/>
        <item x="27"/>
        <item x="17"/>
        <item x="9"/>
        <item x="63"/>
        <item x="20"/>
        <item x="74"/>
        <item x="61"/>
        <item x="56"/>
        <item x="34"/>
        <item x="15"/>
        <item x="44"/>
        <item x="21"/>
        <item x="45"/>
        <item x="78"/>
        <item x="16"/>
        <item x="3"/>
        <item x="7"/>
        <item x="24"/>
        <item x="60"/>
        <item x="35"/>
        <item x="52"/>
        <item x="10"/>
        <item x="54"/>
        <item x="76"/>
        <item x="25"/>
        <item x="65"/>
        <item x="51"/>
        <item x="23"/>
        <item x="5"/>
        <item x="28"/>
        <item x="0"/>
        <item x="77"/>
        <item x="39"/>
        <item x="8"/>
        <item x="40"/>
        <item x="46"/>
        <item x="68"/>
        <item t="default"/>
      </items>
    </pivotField>
    <pivotField dataField="1" showAll="0"/>
    <pivotField showAll="0">
      <items count="40">
        <item x="32"/>
        <item x="4"/>
        <item x="5"/>
        <item x="24"/>
        <item x="37"/>
        <item x="30"/>
        <item x="35"/>
        <item x="7"/>
        <item x="12"/>
        <item x="17"/>
        <item x="31"/>
        <item x="19"/>
        <item x="23"/>
        <item x="6"/>
        <item x="3"/>
        <item x="26"/>
        <item x="29"/>
        <item x="9"/>
        <item x="20"/>
        <item x="34"/>
        <item x="8"/>
        <item x="11"/>
        <item x="2"/>
        <item x="25"/>
        <item x="13"/>
        <item x="16"/>
        <item x="14"/>
        <item x="1"/>
        <item x="10"/>
        <item x="15"/>
        <item x="38"/>
        <item x="22"/>
        <item x="18"/>
        <item x="28"/>
        <item x="36"/>
        <item x="21"/>
        <item x="33"/>
        <item x="0"/>
        <item x="27"/>
        <item t="default"/>
      </items>
    </pivotField>
    <pivotField showAll="0"/>
    <pivotField showAll="0"/>
    <pivotField showAll="0">
      <items count="18">
        <item x="3"/>
        <item x="0"/>
        <item x="5"/>
        <item x="16"/>
        <item x="9"/>
        <item x="15"/>
        <item x="10"/>
        <item x="12"/>
        <item x="13"/>
        <item x="14"/>
        <item x="7"/>
        <item x="11"/>
        <item x="8"/>
        <item x="6"/>
        <item x="1"/>
        <item x="2"/>
        <item x="4"/>
        <item t="default"/>
      </items>
    </pivotField>
    <pivotField axis="axisRow" showAll="0">
      <items count="3">
        <item x="0"/>
        <item x="1"/>
        <item t="default"/>
      </items>
    </pivotField>
    <pivotField showAll="0"/>
    <pivotField showAll="0"/>
    <pivotField showAll="0"/>
    <pivotField showAll="0"/>
    <pivotField showAll="0"/>
    <pivotField showAll="0">
      <items count="9">
        <item x="7"/>
        <item x="2"/>
        <item x="4"/>
        <item x="3"/>
        <item x="5"/>
        <item x="1"/>
        <item x="6"/>
        <item x="0"/>
        <item t="default"/>
      </items>
    </pivotField>
    <pivotField showAll="0">
      <items count="9">
        <item x="3"/>
        <item x="0"/>
        <item x="5"/>
        <item x="7"/>
        <item x="6"/>
        <item x="1"/>
        <item x="2"/>
        <item x="4"/>
        <item t="default"/>
      </items>
    </pivotField>
  </pivotFields>
  <rowFields count="1">
    <field x="8"/>
  </rowFields>
  <rowItems count="3">
    <i>
      <x/>
    </i>
    <i>
      <x v="1"/>
    </i>
    <i t="grand">
      <x/>
    </i>
  </rowItems>
  <colItems count="1">
    <i/>
  </colItems>
  <dataFields count="1">
    <dataField name="Total Streams Billions" fld="3" baseField="8" baseItem="0"/>
  </dataFields>
  <chartFormats count="4">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8" count="1" selected="0">
            <x v="0"/>
          </reference>
        </references>
      </pivotArea>
    </chartFormat>
    <chartFormat chart="4" format="6">
      <pivotArea type="data" outline="0" fieldPosition="0">
        <references count="2">
          <reference field="4294967294" count="1" selected="0">
            <x v="0"/>
          </reference>
          <reference field="8" count="1" selected="0">
            <x v="1"/>
          </reference>
        </references>
      </pivotArea>
    </chartFormat>
  </chartFormats>
  <pivotTableStyleInfo name="PivotStyleDark2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716EDD-CDD3-41DF-9F9A-9B23C8560A88}"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G3:H12" firstHeaderRow="1" firstDataRow="1" firstDataCol="1"/>
  <pivotFields count="16">
    <pivotField showAll="0"/>
    <pivotField showAll="0"/>
    <pivotField showAll="0">
      <items count="81">
        <item x="49"/>
        <item x="31"/>
        <item x="41"/>
        <item x="57"/>
        <item x="64"/>
        <item x="14"/>
        <item x="26"/>
        <item x="19"/>
        <item x="30"/>
        <item x="69"/>
        <item x="48"/>
        <item x="75"/>
        <item x="71"/>
        <item x="70"/>
        <item x="4"/>
        <item x="79"/>
        <item x="12"/>
        <item x="67"/>
        <item x="1"/>
        <item x="58"/>
        <item x="32"/>
        <item x="73"/>
        <item x="55"/>
        <item x="13"/>
        <item x="62"/>
        <item x="50"/>
        <item x="11"/>
        <item x="66"/>
        <item x="6"/>
        <item x="59"/>
        <item x="22"/>
        <item x="43"/>
        <item x="53"/>
        <item x="47"/>
        <item x="36"/>
        <item x="37"/>
        <item x="18"/>
        <item x="42"/>
        <item x="2"/>
        <item x="33"/>
        <item x="72"/>
        <item x="29"/>
        <item x="38"/>
        <item x="27"/>
        <item x="17"/>
        <item x="9"/>
        <item x="63"/>
        <item x="20"/>
        <item x="74"/>
        <item x="61"/>
        <item x="56"/>
        <item x="34"/>
        <item x="15"/>
        <item x="44"/>
        <item x="21"/>
        <item x="45"/>
        <item x="78"/>
        <item x="16"/>
        <item x="3"/>
        <item x="7"/>
        <item x="24"/>
        <item x="60"/>
        <item x="35"/>
        <item x="52"/>
        <item x="10"/>
        <item x="54"/>
        <item x="76"/>
        <item x="25"/>
        <item x="65"/>
        <item x="51"/>
        <item x="23"/>
        <item x="5"/>
        <item x="28"/>
        <item x="0"/>
        <item x="77"/>
        <item x="39"/>
        <item x="8"/>
        <item x="40"/>
        <item x="46"/>
        <item x="68"/>
        <item t="default"/>
      </items>
    </pivotField>
    <pivotField dataField="1" showAll="0"/>
    <pivotField showAll="0">
      <items count="40">
        <item x="32"/>
        <item x="4"/>
        <item x="5"/>
        <item x="24"/>
        <item x="37"/>
        <item x="30"/>
        <item x="35"/>
        <item x="7"/>
        <item x="12"/>
        <item x="17"/>
        <item x="31"/>
        <item x="19"/>
        <item x="23"/>
        <item x="6"/>
        <item x="3"/>
        <item x="26"/>
        <item x="29"/>
        <item x="9"/>
        <item x="20"/>
        <item x="34"/>
        <item x="8"/>
        <item x="11"/>
        <item x="2"/>
        <item x="25"/>
        <item x="13"/>
        <item x="16"/>
        <item x="14"/>
        <item x="1"/>
        <item x="10"/>
        <item x="15"/>
        <item x="38"/>
        <item x="22"/>
        <item x="18"/>
        <item x="28"/>
        <item x="36"/>
        <item x="21"/>
        <item x="33"/>
        <item x="0"/>
        <item x="27"/>
        <item t="default"/>
      </items>
    </pivotField>
    <pivotField showAll="0"/>
    <pivotField showAll="0"/>
    <pivotField axis="axisRow" showAll="0" sortType="descending">
      <items count="18">
        <item x="3"/>
        <item x="0"/>
        <item x="5"/>
        <item x="16"/>
        <item x="9"/>
        <item x="15"/>
        <item x="10"/>
        <item x="12"/>
        <item x="13"/>
        <item x="14"/>
        <item x="7"/>
        <item x="11"/>
        <item x="8"/>
        <item x="6"/>
        <item x="1"/>
        <item x="2"/>
        <item x="4"/>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pivotField showAll="0"/>
    <pivotField showAll="0"/>
    <pivotField showAll="0"/>
    <pivotField showAll="0"/>
    <pivotField showAll="0">
      <items count="9">
        <item x="7"/>
        <item x="2"/>
        <item x="4"/>
        <item x="3"/>
        <item x="5"/>
        <item x="1"/>
        <item x="6"/>
        <item x="0"/>
        <item t="default"/>
      </items>
    </pivotField>
    <pivotField axis="axisRow" showAll="0">
      <items count="9">
        <item sd="0" x="3"/>
        <item sd="0" x="0"/>
        <item sd="0" x="5"/>
        <item n="Others" sd="0" x="7"/>
        <item sd="0" x="6"/>
        <item sd="0" x="1"/>
        <item sd="0" x="2"/>
        <item sd="0" x="4"/>
        <item t="default" sd="0"/>
      </items>
    </pivotField>
  </pivotFields>
  <rowFields count="2">
    <field x="15"/>
    <field x="7"/>
  </rowFields>
  <rowItems count="9">
    <i>
      <x/>
    </i>
    <i>
      <x v="1"/>
    </i>
    <i>
      <x v="2"/>
    </i>
    <i>
      <x v="3"/>
    </i>
    <i>
      <x v="4"/>
    </i>
    <i>
      <x v="5"/>
    </i>
    <i>
      <x v="6"/>
    </i>
    <i>
      <x v="7"/>
    </i>
    <i t="grand">
      <x/>
    </i>
  </rowItems>
  <colItems count="1">
    <i/>
  </colItems>
  <dataFields count="1">
    <dataField name="Total Streams Billions" fld="3" baseField="7"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Dark2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A7B62FB-1AD5-40A5-A25A-C0B5D67C2862}"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F16:G30" firstHeaderRow="1" firstDataRow="1" firstDataCol="1"/>
  <pivotFields count="13">
    <pivotField dataField="1" showAll="0">
      <items count="81">
        <item x="49"/>
        <item x="31"/>
        <item x="41"/>
        <item x="57"/>
        <item x="64"/>
        <item x="14"/>
        <item x="26"/>
        <item x="19"/>
        <item x="30"/>
        <item x="69"/>
        <item x="48"/>
        <item x="75"/>
        <item x="71"/>
        <item x="70"/>
        <item x="4"/>
        <item x="79"/>
        <item x="12"/>
        <item x="67"/>
        <item x="1"/>
        <item x="58"/>
        <item x="32"/>
        <item x="73"/>
        <item x="55"/>
        <item x="13"/>
        <item x="62"/>
        <item x="50"/>
        <item x="11"/>
        <item x="66"/>
        <item x="6"/>
        <item x="59"/>
        <item x="22"/>
        <item x="43"/>
        <item x="53"/>
        <item x="47"/>
        <item x="36"/>
        <item x="37"/>
        <item x="18"/>
        <item x="42"/>
        <item x="2"/>
        <item x="33"/>
        <item x="72"/>
        <item x="29"/>
        <item x="38"/>
        <item x="27"/>
        <item x="17"/>
        <item x="9"/>
        <item x="63"/>
        <item x="20"/>
        <item x="74"/>
        <item x="61"/>
        <item x="56"/>
        <item x="34"/>
        <item x="15"/>
        <item x="44"/>
        <item x="21"/>
        <item x="45"/>
        <item x="78"/>
        <item x="16"/>
        <item x="3"/>
        <item x="7"/>
        <item x="24"/>
        <item x="60"/>
        <item x="35"/>
        <item x="52"/>
        <item x="10"/>
        <item x="54"/>
        <item x="76"/>
        <item x="25"/>
        <item x="65"/>
        <item x="51"/>
        <item x="23"/>
        <item x="5"/>
        <item x="28"/>
        <item x="0"/>
        <item x="77"/>
        <item x="39"/>
        <item x="8"/>
        <item x="40"/>
        <item x="46"/>
        <item x="68"/>
        <item t="default"/>
      </items>
    </pivotField>
    <pivotField showAll="0">
      <items count="95">
        <item x="72"/>
        <item x="85"/>
        <item x="86"/>
        <item x="89"/>
        <item x="44"/>
        <item x="43"/>
        <item x="42"/>
        <item x="88"/>
        <item x="92"/>
        <item x="90"/>
        <item x="50"/>
        <item x="53"/>
        <item x="81"/>
        <item x="71"/>
        <item x="80"/>
        <item x="75"/>
        <item x="79"/>
        <item x="78"/>
        <item x="77"/>
        <item x="41"/>
        <item x="40"/>
        <item x="76"/>
        <item x="39"/>
        <item x="38"/>
        <item x="49"/>
        <item x="74"/>
        <item x="84"/>
        <item x="83"/>
        <item x="91"/>
        <item x="37"/>
        <item x="70"/>
        <item x="36"/>
        <item x="82"/>
        <item x="67"/>
        <item x="66"/>
        <item x="35"/>
        <item x="34"/>
        <item x="59"/>
        <item x="87"/>
        <item x="58"/>
        <item x="57"/>
        <item x="55"/>
        <item x="54"/>
        <item x="51"/>
        <item x="32"/>
        <item x="56"/>
        <item x="31"/>
        <item x="48"/>
        <item x="47"/>
        <item x="46"/>
        <item x="64"/>
        <item x="68"/>
        <item x="73"/>
        <item x="33"/>
        <item x="45"/>
        <item x="62"/>
        <item x="30"/>
        <item x="29"/>
        <item x="28"/>
        <item x="63"/>
        <item x="61"/>
        <item x="69"/>
        <item x="27"/>
        <item x="26"/>
        <item x="93"/>
        <item x="25"/>
        <item x="24"/>
        <item x="23"/>
        <item x="22"/>
        <item x="21"/>
        <item x="20"/>
        <item x="19"/>
        <item x="18"/>
        <item x="17"/>
        <item x="16"/>
        <item x="15"/>
        <item x="14"/>
        <item x="65"/>
        <item x="60"/>
        <item x="52"/>
        <item x="13"/>
        <item x="12"/>
        <item x="11"/>
        <item x="10"/>
        <item x="9"/>
        <item x="8"/>
        <item x="7"/>
        <item x="6"/>
        <item x="5"/>
        <item x="4"/>
        <item x="3"/>
        <item x="2"/>
        <item x="1"/>
        <item x="0"/>
        <item t="default"/>
      </items>
    </pivotField>
    <pivotField showAll="0">
      <items count="40">
        <item x="32"/>
        <item x="4"/>
        <item x="5"/>
        <item x="24"/>
        <item x="37"/>
        <item x="30"/>
        <item x="35"/>
        <item x="7"/>
        <item x="12"/>
        <item x="17"/>
        <item x="31"/>
        <item x="19"/>
        <item x="23"/>
        <item x="6"/>
        <item x="3"/>
        <item x="26"/>
        <item x="29"/>
        <item x="9"/>
        <item x="20"/>
        <item x="34"/>
        <item x="8"/>
        <item x="11"/>
        <item x="2"/>
        <item x="25"/>
        <item x="13"/>
        <item x="16"/>
        <item x="14"/>
        <item x="1"/>
        <item x="10"/>
        <item x="15"/>
        <item x="38"/>
        <item x="22"/>
        <item x="18"/>
        <item x="28"/>
        <item x="36"/>
        <item x="21"/>
        <item x="33"/>
        <item x="0"/>
        <item x="27"/>
        <item t="default"/>
      </items>
    </pivotField>
    <pivotField showAll="0"/>
    <pivotField axis="axisRow" showAll="0" sortType="ascending">
      <items count="23">
        <item x="15"/>
        <item x="12"/>
        <item x="16"/>
        <item x="20"/>
        <item x="19"/>
        <item x="21"/>
        <item x="10"/>
        <item x="11"/>
        <item x="18"/>
        <item x="14"/>
        <item x="8"/>
        <item x="9"/>
        <item x="17"/>
        <item x="3"/>
        <item x="1"/>
        <item x="2"/>
        <item x="0"/>
        <item x="5"/>
        <item x="4"/>
        <item x="6"/>
        <item x="7"/>
        <item x="13"/>
        <item t="default"/>
      </items>
    </pivotField>
    <pivotField showAll="0"/>
    <pivotField showAll="0"/>
    <pivotField showAll="0"/>
    <pivotField showAll="0"/>
    <pivotField showAll="0"/>
    <pivotField showAll="0"/>
    <pivotField showAll="0"/>
    <pivotField axis="axisRow" showAll="0">
      <items count="14">
        <item n="Others" sd="0" x="12"/>
        <item sd="0" x="8"/>
        <item sd="0" x="9"/>
        <item sd="0" x="11"/>
        <item sd="0" x="3"/>
        <item sd="0" x="1"/>
        <item sd="0" x="2"/>
        <item sd="0" x="0"/>
        <item sd="0" x="5"/>
        <item sd="0" x="4"/>
        <item sd="0" x="6"/>
        <item sd="0" x="7"/>
        <item sd="0" x="10"/>
        <item t="default" sd="0"/>
      </items>
    </pivotField>
  </pivotFields>
  <rowFields count="2">
    <field x="12"/>
    <field x="4"/>
  </rowFields>
  <rowItems count="14">
    <i>
      <x/>
    </i>
    <i>
      <x v="1"/>
    </i>
    <i>
      <x v="2"/>
    </i>
    <i>
      <x v="3"/>
    </i>
    <i>
      <x v="4"/>
    </i>
    <i>
      <x v="5"/>
    </i>
    <i>
      <x v="6"/>
    </i>
    <i>
      <x v="7"/>
    </i>
    <i>
      <x v="8"/>
    </i>
    <i>
      <x v="9"/>
    </i>
    <i>
      <x v="10"/>
    </i>
    <i>
      <x v="11"/>
    </i>
    <i>
      <x v="12"/>
    </i>
    <i t="grand">
      <x/>
    </i>
  </rowItems>
  <colItems count="1">
    <i/>
  </colItems>
  <dataFields count="1">
    <dataField name="Count of artist" fld="0"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Dark2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B62B959-8FD6-4254-8ED0-EF20D1933059}"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20:D60" firstHeaderRow="0" firstDataRow="1" firstDataCol="1"/>
  <pivotFields count="13">
    <pivotField showAll="0"/>
    <pivotField showAll="0"/>
    <pivotField axis="axisRow" showAll="0">
      <items count="40">
        <item x="32"/>
        <item x="4"/>
        <item x="5"/>
        <item x="24"/>
        <item x="37"/>
        <item x="30"/>
        <item x="35"/>
        <item x="7"/>
        <item x="12"/>
        <item x="17"/>
        <item x="31"/>
        <item x="19"/>
        <item x="23"/>
        <item x="6"/>
        <item x="3"/>
        <item x="26"/>
        <item x="29"/>
        <item x="9"/>
        <item x="20"/>
        <item x="34"/>
        <item x="8"/>
        <item x="11"/>
        <item x="2"/>
        <item x="25"/>
        <item x="13"/>
        <item x="16"/>
        <item x="14"/>
        <item x="1"/>
        <item x="10"/>
        <item x="15"/>
        <item x="38"/>
        <item x="22"/>
        <item x="18"/>
        <item x="28"/>
        <item x="36"/>
        <item x="21"/>
        <item x="33"/>
        <item x="0"/>
        <item x="27"/>
        <item t="default"/>
      </items>
    </pivotField>
    <pivotField showAll="0"/>
    <pivotField showAll="0">
      <items count="23">
        <item x="15"/>
        <item x="12"/>
        <item x="16"/>
        <item x="20"/>
        <item x="19"/>
        <item x="21"/>
        <item x="10"/>
        <item x="11"/>
        <item x="18"/>
        <item x="14"/>
        <item x="8"/>
        <item x="9"/>
        <item x="17"/>
        <item x="3"/>
        <item x="1"/>
        <item x="2"/>
        <item x="0"/>
        <item x="5"/>
        <item x="4"/>
        <item x="6"/>
        <item x="7"/>
        <item x="13"/>
        <item t="default"/>
      </items>
    </pivotField>
    <pivotField showAll="0"/>
    <pivotField showAll="0"/>
    <pivotField dataField="1" showAll="0"/>
    <pivotField dataField="1" showAll="0"/>
    <pivotField dataField="1" showAll="0"/>
    <pivotField showAll="0"/>
    <pivotField showAll="0"/>
    <pivotField showAll="0">
      <items count="14">
        <item x="12"/>
        <item x="8"/>
        <item x="9"/>
        <item x="11"/>
        <item x="3"/>
        <item x="1"/>
        <item x="2"/>
        <item x="0"/>
        <item x="5"/>
        <item x="4"/>
        <item x="6"/>
        <item x="7"/>
        <item x="10"/>
        <item t="default"/>
      </items>
    </pivotField>
  </pivotFields>
  <rowFields count="1">
    <field x="2"/>
  </rowFields>
  <rowItems count="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t="grand">
      <x/>
    </i>
  </rowItems>
  <colFields count="1">
    <field x="-2"/>
  </colFields>
  <colItems count="3">
    <i>
      <x/>
    </i>
    <i i="1">
      <x v="1"/>
    </i>
    <i i="2">
      <x v="2"/>
    </i>
  </colItems>
  <dataFields count="3">
    <dataField name="Average of danceability" fld="7" subtotal="average" baseField="2" baseItem="10" numFmtId="164"/>
    <dataField name="Average of energy" fld="8" subtotal="average" baseField="2" baseItem="6" numFmtId="164"/>
    <dataField name="Average of valence" fld="9" subtotal="average" baseField="2" baseItem="11" numFmtId="164"/>
  </dataFields>
  <chartFormats count="9">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2"/>
          </reference>
        </references>
      </pivotArea>
    </chartFormat>
    <chartFormat chart="14" format="12" series="1">
      <pivotArea type="data" outline="0" fieldPosition="0">
        <references count="1">
          <reference field="4294967294" count="1" selected="0">
            <x v="0"/>
          </reference>
        </references>
      </pivotArea>
    </chartFormat>
    <chartFormat chart="14" format="13" series="1">
      <pivotArea type="data" outline="0" fieldPosition="0">
        <references count="1">
          <reference field="4294967294" count="1" selected="0">
            <x v="1"/>
          </reference>
        </references>
      </pivotArea>
    </chartFormat>
    <chartFormat chart="14" format="14" series="1">
      <pivotArea type="data" outline="0" fieldPosition="0">
        <references count="1">
          <reference field="4294967294" count="1" selected="0">
            <x v="2"/>
          </reference>
        </references>
      </pivotArea>
    </chartFormat>
    <chartFormat chart="22" format="18" series="1">
      <pivotArea type="data" outline="0" fieldPosition="0">
        <references count="1">
          <reference field="4294967294" count="1" selected="0">
            <x v="0"/>
          </reference>
        </references>
      </pivotArea>
    </chartFormat>
    <chartFormat chart="22" format="19" series="1">
      <pivotArea type="data" outline="0" fieldPosition="0">
        <references count="1">
          <reference field="4294967294" count="1" selected="0">
            <x v="1"/>
          </reference>
        </references>
      </pivotArea>
    </chartFormat>
    <chartFormat chart="22" format="20" series="1">
      <pivotArea type="data" outline="0" fieldPosition="0">
        <references count="1">
          <reference field="4294967294" count="1" selected="0">
            <x v="2"/>
          </reference>
        </references>
      </pivotArea>
    </chartFormat>
  </chartFormats>
  <pivotTableStyleInfo name="PivotStyleDark2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9A17C18-4974-41AD-87B3-4F266808F462}" name="PivotTable1" cacheId="2"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location ref="K20:M35" firstHeaderRow="1" firstDataRow="1" firstDataCol="2"/>
  <pivotFields count="14">
    <pivotField compact="0" outline="0" showAll="0" defaultSubtotal="0">
      <extLst>
        <ext xmlns:x14="http://schemas.microsoft.com/office/spreadsheetml/2009/9/main" uri="{2946ED86-A175-432a-8AC1-64E0C546D7DE}">
          <x14:pivotField fillDownLabels="1"/>
        </ext>
      </extLst>
    </pivotField>
    <pivotField name="Top 15 Songs" axis="axisRow" compact="0" outline="0" showAll="0" measureFilter="1" defaultSubtotal="0">
      <items count="101">
        <item x="48"/>
        <item x="71"/>
        <item x="84"/>
        <item x="45"/>
        <item x="27"/>
        <item x="76"/>
        <item x="85"/>
        <item x="20"/>
        <item x="79"/>
        <item x="87"/>
        <item x="15"/>
        <item x="53"/>
        <item x="73"/>
        <item x="6"/>
        <item x="0"/>
        <item x="96"/>
        <item x="93"/>
        <item x="54"/>
        <item x="26"/>
        <item x="17"/>
        <item x="25"/>
        <item x="23"/>
        <item x="33"/>
        <item x="8"/>
        <item x="34"/>
        <item x="29"/>
        <item x="49"/>
        <item x="16"/>
        <item x="21"/>
        <item x="36"/>
        <item x="95"/>
        <item x="90"/>
        <item x="40"/>
        <item x="51"/>
        <item x="97"/>
        <item x="22"/>
        <item x="69"/>
        <item x="44"/>
        <item x="47"/>
        <item x="9"/>
        <item x="35"/>
        <item x="14"/>
        <item x="59"/>
        <item x="56"/>
        <item x="88"/>
        <item x="78"/>
        <item x="89"/>
        <item x="98"/>
        <item x="92"/>
        <item x="80"/>
        <item x="13"/>
        <item x="81"/>
        <item x="37"/>
        <item x="62"/>
        <item x="30"/>
        <item x="24"/>
        <item x="18"/>
        <item x="74"/>
        <item x="60"/>
        <item x="55"/>
        <item x="43"/>
        <item x="38"/>
        <item x="4"/>
        <item x="50"/>
        <item x="12"/>
        <item x="61"/>
        <item x="65"/>
        <item x="41"/>
        <item x="91"/>
        <item x="57"/>
        <item x="7"/>
        <item x="66"/>
        <item x="42"/>
        <item x="75"/>
        <item x="28"/>
        <item x="86"/>
        <item x="10"/>
        <item x="99"/>
        <item x="19"/>
        <item x="1"/>
        <item x="83"/>
        <item x="39"/>
        <item x="2"/>
        <item x="64"/>
        <item x="46"/>
        <item x="5"/>
        <item x="94"/>
        <item x="3"/>
        <item x="72"/>
        <item x="32"/>
        <item x="67"/>
        <item x="52"/>
        <item x="82"/>
        <item x="70"/>
        <item x="31"/>
        <item x="11"/>
        <item x="58"/>
        <item x="77"/>
        <item x="63"/>
        <item x="68"/>
        <item x="100"/>
      </items>
      <extLst>
        <ext xmlns:x14="http://schemas.microsoft.com/office/spreadsheetml/2009/9/main" uri="{2946ED86-A175-432a-8AC1-64E0C546D7DE}">
          <x14:pivotField fillDownLabels="1"/>
        </ext>
      </extLst>
    </pivotField>
    <pivotField name="Artist" axis="axisRow" compact="0" outline="0" showAll="0" measureFilter="1" defaultSubtotal="0">
      <items count="81">
        <item x="49"/>
        <item x="31"/>
        <item x="41"/>
        <item x="57"/>
        <item x="64"/>
        <item x="14"/>
        <item x="26"/>
        <item x="19"/>
        <item x="30"/>
        <item x="69"/>
        <item x="48"/>
        <item x="75"/>
        <item x="71"/>
        <item x="70"/>
        <item x="4"/>
        <item x="79"/>
        <item x="12"/>
        <item x="67"/>
        <item x="1"/>
        <item x="58"/>
        <item x="32"/>
        <item x="73"/>
        <item x="55"/>
        <item x="13"/>
        <item x="62"/>
        <item x="50"/>
        <item x="11"/>
        <item x="66"/>
        <item x="6"/>
        <item x="59"/>
        <item x="22"/>
        <item x="43"/>
        <item x="53"/>
        <item x="47"/>
        <item x="36"/>
        <item x="37"/>
        <item x="18"/>
        <item x="42"/>
        <item x="2"/>
        <item x="33"/>
        <item x="72"/>
        <item x="29"/>
        <item x="38"/>
        <item x="27"/>
        <item x="17"/>
        <item x="9"/>
        <item x="63"/>
        <item x="20"/>
        <item x="74"/>
        <item x="61"/>
        <item x="56"/>
        <item x="34"/>
        <item x="15"/>
        <item x="44"/>
        <item x="21"/>
        <item x="45"/>
        <item x="78"/>
        <item x="16"/>
        <item x="3"/>
        <item x="7"/>
        <item x="24"/>
        <item x="60"/>
        <item x="35"/>
        <item x="52"/>
        <item x="10"/>
        <item x="54"/>
        <item x="76"/>
        <item x="25"/>
        <item x="65"/>
        <item x="51"/>
        <item x="23"/>
        <item x="5"/>
        <item x="28"/>
        <item x="0"/>
        <item x="77"/>
        <item x="39"/>
        <item x="8"/>
        <item x="40"/>
        <item x="46"/>
        <item x="68"/>
        <item x="80"/>
      </items>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2">
    <field x="1"/>
    <field x="2"/>
  </rowFields>
  <rowItems count="15">
    <i>
      <x v="14"/>
      <x v="73"/>
    </i>
    <i>
      <x v="79"/>
      <x v="18"/>
    </i>
    <i>
      <x v="82"/>
      <x v="38"/>
    </i>
    <i>
      <x v="87"/>
      <x v="58"/>
    </i>
    <i>
      <x v="62"/>
      <x v="14"/>
    </i>
    <i>
      <x v="85"/>
      <x v="71"/>
    </i>
    <i>
      <x v="13"/>
      <x v="28"/>
    </i>
    <i>
      <x v="70"/>
      <x v="59"/>
    </i>
    <i>
      <x v="23"/>
      <x v="76"/>
    </i>
    <i>
      <x v="39"/>
      <x v="45"/>
    </i>
    <i>
      <x v="76"/>
      <x v="64"/>
    </i>
    <i>
      <x v="95"/>
      <x v="26"/>
    </i>
    <i>
      <x v="64"/>
      <x v="18"/>
    </i>
    <i>
      <x v="50"/>
      <x v="16"/>
    </i>
    <i>
      <x v="91"/>
      <x v="28"/>
    </i>
  </rowItems>
  <colItems count="1">
    <i/>
  </colItems>
  <dataFields count="1">
    <dataField name="Total Streams Billions" fld="3" baseField="2" baseItem="73" numFmtId="165"/>
  </dataFields>
  <formats count="82">
    <format dxfId="382">
      <pivotArea outline="0" collapsedLevelsAreSubtotals="1" fieldPosition="0"/>
    </format>
    <format dxfId="376">
      <pivotArea type="all" dataOnly="0" outline="0" fieldPosition="0"/>
    </format>
    <format dxfId="354">
      <pivotArea outline="0" collapsedLevelsAreSubtotals="1" fieldPosition="0"/>
    </format>
    <format dxfId="353">
      <pivotArea field="1" type="button" dataOnly="0" labelOnly="1" outline="0" axis="axisRow" fieldPosition="0"/>
    </format>
    <format dxfId="352">
      <pivotArea field="2" type="button" dataOnly="0" labelOnly="1" outline="0" axis="axisRow" fieldPosition="1"/>
    </format>
    <format dxfId="351">
      <pivotArea dataOnly="0" labelOnly="1" outline="0" fieldPosition="0">
        <references count="1">
          <reference field="1" count="15">
            <x v="13"/>
            <x v="14"/>
            <x v="23"/>
            <x v="39"/>
            <x v="50"/>
            <x v="62"/>
            <x v="64"/>
            <x v="70"/>
            <x v="76"/>
            <x v="79"/>
            <x v="82"/>
            <x v="85"/>
            <x v="87"/>
            <x v="91"/>
            <x v="95"/>
          </reference>
        </references>
      </pivotArea>
    </format>
    <format dxfId="350">
      <pivotArea dataOnly="0" labelOnly="1" outline="0" axis="axisValues" fieldPosition="0"/>
    </format>
    <format dxfId="339">
      <pivotArea type="all" dataOnly="0" outline="0" fieldPosition="0"/>
    </format>
    <format dxfId="338">
      <pivotArea outline="0" collapsedLevelsAreSubtotals="1" fieldPosition="0"/>
    </format>
    <format dxfId="337">
      <pivotArea field="1" type="button" dataOnly="0" labelOnly="1" outline="0" axis="axisRow" fieldPosition="0"/>
    </format>
    <format dxfId="336">
      <pivotArea field="2" type="button" dataOnly="0" labelOnly="1" outline="0" axis="axisRow" fieldPosition="1"/>
    </format>
    <format dxfId="335">
      <pivotArea dataOnly="0" labelOnly="1" outline="0" fieldPosition="0">
        <references count="1">
          <reference field="1" count="15">
            <x v="13"/>
            <x v="14"/>
            <x v="23"/>
            <x v="39"/>
            <x v="50"/>
            <x v="62"/>
            <x v="64"/>
            <x v="70"/>
            <x v="76"/>
            <x v="79"/>
            <x v="82"/>
            <x v="85"/>
            <x v="87"/>
            <x v="91"/>
            <x v="95"/>
          </reference>
        </references>
      </pivotArea>
    </format>
    <format dxfId="334">
      <pivotArea dataOnly="0" labelOnly="1" outline="0" axis="axisValues" fieldPosition="0"/>
    </format>
    <format dxfId="332">
      <pivotArea field="1" type="button" dataOnly="0" labelOnly="1" outline="0" axis="axisRow" fieldPosition="0"/>
    </format>
    <format dxfId="331">
      <pivotArea dataOnly="0" labelOnly="1" outline="0" fieldPosition="0">
        <references count="1">
          <reference field="1" count="15">
            <x v="13"/>
            <x v="14"/>
            <x v="23"/>
            <x v="39"/>
            <x v="50"/>
            <x v="62"/>
            <x v="64"/>
            <x v="70"/>
            <x v="76"/>
            <x v="79"/>
            <x v="82"/>
            <x v="85"/>
            <x v="87"/>
            <x v="91"/>
            <x v="95"/>
          </reference>
        </references>
      </pivotArea>
    </format>
    <format dxfId="330">
      <pivotArea field="2" type="button" dataOnly="0" labelOnly="1" outline="0" axis="axisRow" fieldPosition="1"/>
    </format>
    <format dxfId="146">
      <pivotArea dataOnly="0" labelOnly="1" outline="0" fieldPosition="0">
        <references count="2">
          <reference field="1" count="1" selected="0">
            <x v="14"/>
          </reference>
          <reference field="2" count="1">
            <x v="73"/>
          </reference>
        </references>
      </pivotArea>
    </format>
    <format dxfId="142">
      <pivotArea dataOnly="0" labelOnly="1" outline="0" fieldPosition="0">
        <references count="2">
          <reference field="1" count="1" selected="0">
            <x v="79"/>
          </reference>
          <reference field="2" count="1">
            <x v="18"/>
          </reference>
        </references>
      </pivotArea>
    </format>
    <format dxfId="138">
      <pivotArea dataOnly="0" labelOnly="1" outline="0" fieldPosition="0">
        <references count="2">
          <reference field="1" count="1" selected="0">
            <x v="82"/>
          </reference>
          <reference field="2" count="1">
            <x v="38"/>
          </reference>
        </references>
      </pivotArea>
    </format>
    <format dxfId="134">
      <pivotArea dataOnly="0" labelOnly="1" outline="0" fieldPosition="0">
        <references count="2">
          <reference field="1" count="1" selected="0">
            <x v="87"/>
          </reference>
          <reference field="2" count="1">
            <x v="58"/>
          </reference>
        </references>
      </pivotArea>
    </format>
    <format dxfId="130">
      <pivotArea dataOnly="0" labelOnly="1" outline="0" fieldPosition="0">
        <references count="2">
          <reference field="1" count="1" selected="0">
            <x v="62"/>
          </reference>
          <reference field="2" count="1">
            <x v="14"/>
          </reference>
        </references>
      </pivotArea>
    </format>
    <format dxfId="126">
      <pivotArea dataOnly="0" labelOnly="1" outline="0" fieldPosition="0">
        <references count="2">
          <reference field="1" count="1" selected="0">
            <x v="85"/>
          </reference>
          <reference field="2" count="1">
            <x v="71"/>
          </reference>
        </references>
      </pivotArea>
    </format>
    <format dxfId="122">
      <pivotArea dataOnly="0" labelOnly="1" outline="0" fieldPosition="0">
        <references count="2">
          <reference field="1" count="1" selected="0">
            <x v="13"/>
          </reference>
          <reference field="2" count="1">
            <x v="28"/>
          </reference>
        </references>
      </pivotArea>
    </format>
    <format dxfId="118">
      <pivotArea dataOnly="0" labelOnly="1" outline="0" fieldPosition="0">
        <references count="2">
          <reference field="1" count="1" selected="0">
            <x v="70"/>
          </reference>
          <reference field="2" count="1">
            <x v="59"/>
          </reference>
        </references>
      </pivotArea>
    </format>
    <format dxfId="114">
      <pivotArea dataOnly="0" labelOnly="1" outline="0" fieldPosition="0">
        <references count="2">
          <reference field="1" count="1" selected="0">
            <x v="23"/>
          </reference>
          <reference field="2" count="1">
            <x v="76"/>
          </reference>
        </references>
      </pivotArea>
    </format>
    <format dxfId="110">
      <pivotArea dataOnly="0" labelOnly="1" outline="0" fieldPosition="0">
        <references count="2">
          <reference field="1" count="1" selected="0">
            <x v="39"/>
          </reference>
          <reference field="2" count="1">
            <x v="45"/>
          </reference>
        </references>
      </pivotArea>
    </format>
    <format dxfId="106">
      <pivotArea dataOnly="0" labelOnly="1" outline="0" fieldPosition="0">
        <references count="2">
          <reference field="1" count="1" selected="0">
            <x v="76"/>
          </reference>
          <reference field="2" count="1">
            <x v="64"/>
          </reference>
        </references>
      </pivotArea>
    </format>
    <format dxfId="102">
      <pivotArea dataOnly="0" labelOnly="1" outline="0" fieldPosition="0">
        <references count="2">
          <reference field="1" count="1" selected="0">
            <x v="95"/>
          </reference>
          <reference field="2" count="1">
            <x v="26"/>
          </reference>
        </references>
      </pivotArea>
    </format>
    <format dxfId="98">
      <pivotArea dataOnly="0" labelOnly="1" outline="0" fieldPosition="0">
        <references count="2">
          <reference field="1" count="1" selected="0">
            <x v="64"/>
          </reference>
          <reference field="2" count="1">
            <x v="18"/>
          </reference>
        </references>
      </pivotArea>
    </format>
    <format dxfId="94">
      <pivotArea dataOnly="0" labelOnly="1" outline="0" fieldPosition="0">
        <references count="2">
          <reference field="1" count="1" selected="0">
            <x v="50"/>
          </reference>
          <reference field="2" count="1">
            <x v="16"/>
          </reference>
        </references>
      </pivotArea>
    </format>
    <format dxfId="90">
      <pivotArea dataOnly="0" labelOnly="1" outline="0" fieldPosition="0">
        <references count="2">
          <reference field="1" count="1" selected="0">
            <x v="91"/>
          </reference>
          <reference field="2" count="1">
            <x v="28"/>
          </reference>
        </references>
      </pivotArea>
    </format>
    <format dxfId="86">
      <pivotArea dataOnly="0" labelOnly="1" outline="0" fieldPosition="0">
        <references count="2">
          <reference field="1" count="1" selected="0">
            <x v="14"/>
          </reference>
          <reference field="2" count="1">
            <x v="73"/>
          </reference>
        </references>
      </pivotArea>
    </format>
    <format dxfId="85">
      <pivotArea dataOnly="0" labelOnly="1" outline="0" fieldPosition="0">
        <references count="2">
          <reference field="1" count="1" selected="0">
            <x v="79"/>
          </reference>
          <reference field="2" count="1">
            <x v="18"/>
          </reference>
        </references>
      </pivotArea>
    </format>
    <format dxfId="84">
      <pivotArea dataOnly="0" labelOnly="1" outline="0" fieldPosition="0">
        <references count="2">
          <reference field="1" count="1" selected="0">
            <x v="82"/>
          </reference>
          <reference field="2" count="1">
            <x v="38"/>
          </reference>
        </references>
      </pivotArea>
    </format>
    <format dxfId="83">
      <pivotArea dataOnly="0" labelOnly="1" outline="0" fieldPosition="0">
        <references count="2">
          <reference field="1" count="1" selected="0">
            <x v="87"/>
          </reference>
          <reference field="2" count="1">
            <x v="58"/>
          </reference>
        </references>
      </pivotArea>
    </format>
    <format dxfId="82">
      <pivotArea dataOnly="0" labelOnly="1" outline="0" fieldPosition="0">
        <references count="2">
          <reference field="1" count="1" selected="0">
            <x v="62"/>
          </reference>
          <reference field="2" count="1">
            <x v="14"/>
          </reference>
        </references>
      </pivotArea>
    </format>
    <format dxfId="81">
      <pivotArea dataOnly="0" labelOnly="1" outline="0" fieldPosition="0">
        <references count="2">
          <reference field="1" count="1" selected="0">
            <x v="85"/>
          </reference>
          <reference field="2" count="1">
            <x v="71"/>
          </reference>
        </references>
      </pivotArea>
    </format>
    <format dxfId="80">
      <pivotArea dataOnly="0" labelOnly="1" outline="0" fieldPosition="0">
        <references count="2">
          <reference field="1" count="1" selected="0">
            <x v="13"/>
          </reference>
          <reference field="2" count="1">
            <x v="28"/>
          </reference>
        </references>
      </pivotArea>
    </format>
    <format dxfId="79">
      <pivotArea dataOnly="0" labelOnly="1" outline="0" fieldPosition="0">
        <references count="2">
          <reference field="1" count="1" selected="0">
            <x v="70"/>
          </reference>
          <reference field="2" count="1">
            <x v="59"/>
          </reference>
        </references>
      </pivotArea>
    </format>
    <format dxfId="78">
      <pivotArea dataOnly="0" labelOnly="1" outline="0" fieldPosition="0">
        <references count="2">
          <reference field="1" count="1" selected="0">
            <x v="23"/>
          </reference>
          <reference field="2" count="1">
            <x v="76"/>
          </reference>
        </references>
      </pivotArea>
    </format>
    <format dxfId="77">
      <pivotArea dataOnly="0" labelOnly="1" outline="0" fieldPosition="0">
        <references count="2">
          <reference field="1" count="1" selected="0">
            <x v="39"/>
          </reference>
          <reference field="2" count="1">
            <x v="45"/>
          </reference>
        </references>
      </pivotArea>
    </format>
    <format dxfId="76">
      <pivotArea dataOnly="0" labelOnly="1" outline="0" fieldPosition="0">
        <references count="2">
          <reference field="1" count="1" selected="0">
            <x v="76"/>
          </reference>
          <reference field="2" count="1">
            <x v="64"/>
          </reference>
        </references>
      </pivotArea>
    </format>
    <format dxfId="75">
      <pivotArea dataOnly="0" labelOnly="1" outline="0" fieldPosition="0">
        <references count="2">
          <reference field="1" count="1" selected="0">
            <x v="95"/>
          </reference>
          <reference field="2" count="1">
            <x v="26"/>
          </reference>
        </references>
      </pivotArea>
    </format>
    <format dxfId="74">
      <pivotArea dataOnly="0" labelOnly="1" outline="0" fieldPosition="0">
        <references count="2">
          <reference field="1" count="1" selected="0">
            <x v="64"/>
          </reference>
          <reference field="2" count="1">
            <x v="18"/>
          </reference>
        </references>
      </pivotArea>
    </format>
    <format dxfId="73">
      <pivotArea dataOnly="0" labelOnly="1" outline="0" fieldPosition="0">
        <references count="2">
          <reference field="1" count="1" selected="0">
            <x v="50"/>
          </reference>
          <reference field="2" count="1">
            <x v="16"/>
          </reference>
        </references>
      </pivotArea>
    </format>
    <format dxfId="72">
      <pivotArea dataOnly="0" labelOnly="1" outline="0" fieldPosition="0">
        <references count="2">
          <reference field="1" count="1" selected="0">
            <x v="91"/>
          </reference>
          <reference field="2" count="1">
            <x v="28"/>
          </reference>
        </references>
      </pivotArea>
    </format>
    <format dxfId="71">
      <pivotArea dataOnly="0" labelOnly="1" outline="0" fieldPosition="0">
        <references count="2">
          <reference field="1" count="1" selected="0">
            <x v="14"/>
          </reference>
          <reference field="2" count="1">
            <x v="73"/>
          </reference>
        </references>
      </pivotArea>
    </format>
    <format dxfId="70">
      <pivotArea dataOnly="0" labelOnly="1" outline="0" fieldPosition="0">
        <references count="2">
          <reference field="1" count="1" selected="0">
            <x v="79"/>
          </reference>
          <reference field="2" count="1">
            <x v="18"/>
          </reference>
        </references>
      </pivotArea>
    </format>
    <format dxfId="69">
      <pivotArea dataOnly="0" labelOnly="1" outline="0" fieldPosition="0">
        <references count="2">
          <reference field="1" count="1" selected="0">
            <x v="82"/>
          </reference>
          <reference field="2" count="1">
            <x v="38"/>
          </reference>
        </references>
      </pivotArea>
    </format>
    <format dxfId="68">
      <pivotArea dataOnly="0" labelOnly="1" outline="0" fieldPosition="0">
        <references count="2">
          <reference field="1" count="1" selected="0">
            <x v="87"/>
          </reference>
          <reference field="2" count="1">
            <x v="58"/>
          </reference>
        </references>
      </pivotArea>
    </format>
    <format dxfId="67">
      <pivotArea dataOnly="0" labelOnly="1" outline="0" fieldPosition="0">
        <references count="2">
          <reference field="1" count="1" selected="0">
            <x v="62"/>
          </reference>
          <reference field="2" count="1">
            <x v="14"/>
          </reference>
        </references>
      </pivotArea>
    </format>
    <format dxfId="66">
      <pivotArea dataOnly="0" labelOnly="1" outline="0" fieldPosition="0">
        <references count="2">
          <reference field="1" count="1" selected="0">
            <x v="85"/>
          </reference>
          <reference field="2" count="1">
            <x v="71"/>
          </reference>
        </references>
      </pivotArea>
    </format>
    <format dxfId="65">
      <pivotArea dataOnly="0" labelOnly="1" outline="0" fieldPosition="0">
        <references count="2">
          <reference field="1" count="1" selected="0">
            <x v="13"/>
          </reference>
          <reference field="2" count="1">
            <x v="28"/>
          </reference>
        </references>
      </pivotArea>
    </format>
    <format dxfId="64">
      <pivotArea dataOnly="0" labelOnly="1" outline="0" fieldPosition="0">
        <references count="2">
          <reference field="1" count="1" selected="0">
            <x v="70"/>
          </reference>
          <reference field="2" count="1">
            <x v="59"/>
          </reference>
        </references>
      </pivotArea>
    </format>
    <format dxfId="63">
      <pivotArea dataOnly="0" labelOnly="1" outline="0" fieldPosition="0">
        <references count="2">
          <reference field="1" count="1" selected="0">
            <x v="23"/>
          </reference>
          <reference field="2" count="1">
            <x v="76"/>
          </reference>
        </references>
      </pivotArea>
    </format>
    <format dxfId="62">
      <pivotArea dataOnly="0" labelOnly="1" outline="0" fieldPosition="0">
        <references count="2">
          <reference field="1" count="1" selected="0">
            <x v="39"/>
          </reference>
          <reference field="2" count="1">
            <x v="45"/>
          </reference>
        </references>
      </pivotArea>
    </format>
    <format dxfId="61">
      <pivotArea dataOnly="0" labelOnly="1" outline="0" fieldPosition="0">
        <references count="2">
          <reference field="1" count="1" selected="0">
            <x v="76"/>
          </reference>
          <reference field="2" count="1">
            <x v="64"/>
          </reference>
        </references>
      </pivotArea>
    </format>
    <format dxfId="60">
      <pivotArea dataOnly="0" labelOnly="1" outline="0" fieldPosition="0">
        <references count="2">
          <reference field="1" count="1" selected="0">
            <x v="95"/>
          </reference>
          <reference field="2" count="1">
            <x v="26"/>
          </reference>
        </references>
      </pivotArea>
    </format>
    <format dxfId="59">
      <pivotArea dataOnly="0" labelOnly="1" outline="0" fieldPosition="0">
        <references count="2">
          <reference field="1" count="1" selected="0">
            <x v="64"/>
          </reference>
          <reference field="2" count="1">
            <x v="18"/>
          </reference>
        </references>
      </pivotArea>
    </format>
    <format dxfId="58">
      <pivotArea dataOnly="0" labelOnly="1" outline="0" fieldPosition="0">
        <references count="2">
          <reference field="1" count="1" selected="0">
            <x v="50"/>
          </reference>
          <reference field="2" count="1">
            <x v="16"/>
          </reference>
        </references>
      </pivotArea>
    </format>
    <format dxfId="57">
      <pivotArea dataOnly="0" labelOnly="1" outline="0" fieldPosition="0">
        <references count="2">
          <reference field="1" count="1" selected="0">
            <x v="91"/>
          </reference>
          <reference field="2" count="1">
            <x v="28"/>
          </reference>
        </references>
      </pivotArea>
    </format>
    <format dxfId="56">
      <pivotArea type="all" dataOnly="0" outline="0" fieldPosition="0"/>
    </format>
    <format dxfId="40">
      <pivotArea outline="0" collapsedLevelsAreSubtotals="1" fieldPosition="0"/>
    </format>
    <format dxfId="39">
      <pivotArea field="1" type="button" dataOnly="0" labelOnly="1" outline="0" axis="axisRow" fieldPosition="0"/>
    </format>
    <format dxfId="38">
      <pivotArea field="2" type="button" dataOnly="0" labelOnly="1" outline="0" axis="axisRow" fieldPosition="1"/>
    </format>
    <format dxfId="37">
      <pivotArea dataOnly="0" labelOnly="1" outline="0" fieldPosition="0">
        <references count="1">
          <reference field="1" count="15">
            <x v="13"/>
            <x v="14"/>
            <x v="23"/>
            <x v="39"/>
            <x v="50"/>
            <x v="62"/>
            <x v="64"/>
            <x v="70"/>
            <x v="76"/>
            <x v="79"/>
            <x v="82"/>
            <x v="85"/>
            <x v="87"/>
            <x v="91"/>
            <x v="95"/>
          </reference>
        </references>
      </pivotArea>
    </format>
    <format dxfId="36">
      <pivotArea dataOnly="0" labelOnly="1" outline="0" fieldPosition="0">
        <references count="2">
          <reference field="1" count="1" selected="0">
            <x v="14"/>
          </reference>
          <reference field="2" count="1">
            <x v="73"/>
          </reference>
        </references>
      </pivotArea>
    </format>
    <format dxfId="35">
      <pivotArea dataOnly="0" labelOnly="1" outline="0" fieldPosition="0">
        <references count="2">
          <reference field="1" count="1" selected="0">
            <x v="79"/>
          </reference>
          <reference field="2" count="1">
            <x v="18"/>
          </reference>
        </references>
      </pivotArea>
    </format>
    <format dxfId="34">
      <pivotArea dataOnly="0" labelOnly="1" outline="0" fieldPosition="0">
        <references count="2">
          <reference field="1" count="1" selected="0">
            <x v="82"/>
          </reference>
          <reference field="2" count="1">
            <x v="38"/>
          </reference>
        </references>
      </pivotArea>
    </format>
    <format dxfId="33">
      <pivotArea dataOnly="0" labelOnly="1" outline="0" fieldPosition="0">
        <references count="2">
          <reference field="1" count="1" selected="0">
            <x v="87"/>
          </reference>
          <reference field="2" count="1">
            <x v="58"/>
          </reference>
        </references>
      </pivotArea>
    </format>
    <format dxfId="32">
      <pivotArea dataOnly="0" labelOnly="1" outline="0" fieldPosition="0">
        <references count="2">
          <reference field="1" count="1" selected="0">
            <x v="62"/>
          </reference>
          <reference field="2" count="1">
            <x v="14"/>
          </reference>
        </references>
      </pivotArea>
    </format>
    <format dxfId="31">
      <pivotArea dataOnly="0" labelOnly="1" outline="0" fieldPosition="0">
        <references count="2">
          <reference field="1" count="1" selected="0">
            <x v="85"/>
          </reference>
          <reference field="2" count="1">
            <x v="71"/>
          </reference>
        </references>
      </pivotArea>
    </format>
    <format dxfId="30">
      <pivotArea dataOnly="0" labelOnly="1" outline="0" fieldPosition="0">
        <references count="2">
          <reference field="1" count="1" selected="0">
            <x v="13"/>
          </reference>
          <reference field="2" count="1">
            <x v="28"/>
          </reference>
        </references>
      </pivotArea>
    </format>
    <format dxfId="29">
      <pivotArea dataOnly="0" labelOnly="1" outline="0" fieldPosition="0">
        <references count="2">
          <reference field="1" count="1" selected="0">
            <x v="70"/>
          </reference>
          <reference field="2" count="1">
            <x v="59"/>
          </reference>
        </references>
      </pivotArea>
    </format>
    <format dxfId="28">
      <pivotArea dataOnly="0" labelOnly="1" outline="0" fieldPosition="0">
        <references count="2">
          <reference field="1" count="1" selected="0">
            <x v="23"/>
          </reference>
          <reference field="2" count="1">
            <x v="76"/>
          </reference>
        </references>
      </pivotArea>
    </format>
    <format dxfId="27">
      <pivotArea dataOnly="0" labelOnly="1" outline="0" fieldPosition="0">
        <references count="2">
          <reference field="1" count="1" selected="0">
            <x v="39"/>
          </reference>
          <reference field="2" count="1">
            <x v="45"/>
          </reference>
        </references>
      </pivotArea>
    </format>
    <format dxfId="26">
      <pivotArea dataOnly="0" labelOnly="1" outline="0" fieldPosition="0">
        <references count="2">
          <reference field="1" count="1" selected="0">
            <x v="76"/>
          </reference>
          <reference field="2" count="1">
            <x v="64"/>
          </reference>
        </references>
      </pivotArea>
    </format>
    <format dxfId="25">
      <pivotArea dataOnly="0" labelOnly="1" outline="0" fieldPosition="0">
        <references count="2">
          <reference field="1" count="1" selected="0">
            <x v="95"/>
          </reference>
          <reference field="2" count="1">
            <x v="26"/>
          </reference>
        </references>
      </pivotArea>
    </format>
    <format dxfId="24">
      <pivotArea dataOnly="0" labelOnly="1" outline="0" fieldPosition="0">
        <references count="2">
          <reference field="1" count="1" selected="0">
            <x v="64"/>
          </reference>
          <reference field="2" count="1">
            <x v="18"/>
          </reference>
        </references>
      </pivotArea>
    </format>
    <format dxfId="23">
      <pivotArea dataOnly="0" labelOnly="1" outline="0" fieldPosition="0">
        <references count="2">
          <reference field="1" count="1" selected="0">
            <x v="50"/>
          </reference>
          <reference field="2" count="1">
            <x v="16"/>
          </reference>
        </references>
      </pivotArea>
    </format>
    <format dxfId="22">
      <pivotArea dataOnly="0" labelOnly="1" outline="0" fieldPosition="0">
        <references count="2">
          <reference field="1" count="1" selected="0">
            <x v="91"/>
          </reference>
          <reference field="2" count="1">
            <x v="28"/>
          </reference>
        </references>
      </pivotArea>
    </format>
    <format dxfId="21">
      <pivotArea dataOnly="0" labelOnly="1" outline="0" axis="axisValues" fieldPosition="0"/>
    </format>
  </formats>
  <pivotTableStyleInfo name="PivotStyleDark4" showRowHeaders="0" showColHeaders="1" showRowStripes="1" showColStripes="1" showLastColumn="1"/>
  <filters count="2">
    <filter fld="2" type="count" evalOrder="-1" id="4" iMeasureFld="0">
      <autoFilter ref="A1">
        <filterColumn colId="0">
          <top10 val="10" filterVal="10"/>
        </filterColumn>
      </autoFilter>
    </filter>
    <filter fld="1" type="count" evalOrder="-1" id="6" iMeasureFld="0">
      <autoFilter ref="A1">
        <filterColumn colId="0">
          <top10 val="15" filterVal="15"/>
        </filterColumn>
      </autoFilter>
    </filter>
  </filters>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45537EA-6D87-409A-8A41-9FAD7ABEE898}" name="PivotTable9"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rowHeaderCaption="Top 10 Artists">
  <location ref="D9:E19" firstHeaderRow="1" firstDataRow="1" firstDataCol="1"/>
  <pivotFields count="16">
    <pivotField showAll="0"/>
    <pivotField showAll="0"/>
    <pivotField axis="axisRow" showAll="0" measureFilter="1" sortType="descending">
      <items count="81">
        <item x="68"/>
        <item x="46"/>
        <item x="40"/>
        <item x="8"/>
        <item x="39"/>
        <item x="77"/>
        <item x="0"/>
        <item x="28"/>
        <item x="5"/>
        <item x="23"/>
        <item x="51"/>
        <item x="65"/>
        <item x="25"/>
        <item x="76"/>
        <item x="54"/>
        <item x="10"/>
        <item x="52"/>
        <item x="35"/>
        <item x="60"/>
        <item x="24"/>
        <item x="7"/>
        <item x="3"/>
        <item x="16"/>
        <item x="78"/>
        <item x="45"/>
        <item x="21"/>
        <item x="44"/>
        <item x="15"/>
        <item x="34"/>
        <item x="56"/>
        <item x="61"/>
        <item x="74"/>
        <item x="20"/>
        <item x="63"/>
        <item x="9"/>
        <item x="17"/>
        <item x="27"/>
        <item x="38"/>
        <item x="29"/>
        <item x="72"/>
        <item x="33"/>
        <item x="2"/>
        <item x="42"/>
        <item x="18"/>
        <item x="37"/>
        <item x="36"/>
        <item x="47"/>
        <item x="53"/>
        <item x="43"/>
        <item x="22"/>
        <item x="59"/>
        <item x="6"/>
        <item x="66"/>
        <item x="11"/>
        <item x="50"/>
        <item x="62"/>
        <item x="13"/>
        <item x="55"/>
        <item x="73"/>
        <item x="32"/>
        <item x="58"/>
        <item x="1"/>
        <item x="67"/>
        <item x="12"/>
        <item x="79"/>
        <item x="4"/>
        <item x="70"/>
        <item x="71"/>
        <item x="75"/>
        <item x="48"/>
        <item x="69"/>
        <item x="30"/>
        <item x="19"/>
        <item x="26"/>
        <item x="14"/>
        <item x="64"/>
        <item x="57"/>
        <item x="41"/>
        <item x="31"/>
        <item x="49"/>
        <item t="default"/>
      </items>
    </pivotField>
    <pivotField dataField="1" showAll="0"/>
    <pivotField showAll="0">
      <items count="40">
        <item x="32"/>
        <item x="4"/>
        <item x="5"/>
        <item x="24"/>
        <item x="37"/>
        <item x="30"/>
        <item x="35"/>
        <item x="7"/>
        <item x="12"/>
        <item x="17"/>
        <item x="31"/>
        <item x="19"/>
        <item x="23"/>
        <item x="6"/>
        <item x="3"/>
        <item x="26"/>
        <item x="29"/>
        <item x="9"/>
        <item x="20"/>
        <item x="34"/>
        <item x="8"/>
        <item x="11"/>
        <item x="2"/>
        <item x="25"/>
        <item x="13"/>
        <item x="16"/>
        <item x="14"/>
        <item x="1"/>
        <item x="10"/>
        <item x="15"/>
        <item x="38"/>
        <item x="22"/>
        <item x="18"/>
        <item x="28"/>
        <item x="36"/>
        <item x="21"/>
        <item x="33"/>
        <item x="0"/>
        <item x="27"/>
        <item t="default"/>
      </items>
    </pivotField>
    <pivotField showAll="0"/>
    <pivotField showAll="0"/>
    <pivotField showAll="0">
      <items count="18">
        <item x="3"/>
        <item x="0"/>
        <item x="5"/>
        <item x="16"/>
        <item x="9"/>
        <item x="15"/>
        <item x="10"/>
        <item x="12"/>
        <item x="13"/>
        <item x="14"/>
        <item x="7"/>
        <item x="11"/>
        <item x="8"/>
        <item x="6"/>
        <item x="1"/>
        <item x="2"/>
        <item x="4"/>
        <item t="default"/>
      </items>
    </pivotField>
    <pivotField showAll="0">
      <items count="3">
        <item x="0"/>
        <item x="1"/>
        <item t="default"/>
      </items>
    </pivotField>
    <pivotField showAll="0"/>
    <pivotField showAll="0"/>
    <pivotField showAll="0"/>
    <pivotField showAll="0"/>
    <pivotField showAll="0"/>
    <pivotField showAll="0">
      <items count="9">
        <item x="7"/>
        <item x="2"/>
        <item x="4"/>
        <item x="3"/>
        <item x="5"/>
        <item x="1"/>
        <item x="6"/>
        <item x="0"/>
        <item t="default"/>
      </items>
    </pivotField>
    <pivotField showAll="0">
      <items count="9">
        <item x="3"/>
        <item x="0"/>
        <item x="5"/>
        <item x="7"/>
        <item x="6"/>
        <item x="1"/>
        <item x="2"/>
        <item x="4"/>
        <item t="default"/>
      </items>
    </pivotField>
  </pivotFields>
  <rowFields count="1">
    <field x="2"/>
  </rowFields>
  <rowItems count="10">
    <i>
      <x v="6"/>
    </i>
    <i>
      <x v="12"/>
    </i>
    <i>
      <x v="27"/>
    </i>
    <i>
      <x v="32"/>
    </i>
    <i>
      <x v="48"/>
    </i>
    <i>
      <x v="51"/>
    </i>
    <i>
      <x v="53"/>
    </i>
    <i>
      <x v="61"/>
    </i>
    <i>
      <x v="72"/>
    </i>
    <i>
      <x v="77"/>
    </i>
  </rowItems>
  <colItems count="1">
    <i/>
  </colItems>
  <dataFields count="1">
    <dataField name="Total Streams Billions" fld="3" baseField="2" baseItem="18" numFmtId="165"/>
  </dataFields>
  <formats count="10">
    <format dxfId="394">
      <pivotArea dataOnly="0" labelOnly="1" fieldPosition="0">
        <references count="1">
          <reference field="2" count="1">
            <x v="6"/>
          </reference>
        </references>
      </pivotArea>
    </format>
    <format dxfId="393">
      <pivotArea type="all" dataOnly="0" outline="0" fieldPosition="0"/>
    </format>
    <format dxfId="392">
      <pivotArea outline="0" collapsedLevelsAreSubtotals="1" fieldPosition="0"/>
    </format>
    <format dxfId="391">
      <pivotArea dataOnly="0" labelOnly="1" grandRow="1" outline="0" fieldPosition="0"/>
    </format>
    <format dxfId="383">
      <pivotArea outline="0" collapsedLevelsAreSubtotals="1" fieldPosition="0"/>
    </format>
    <format dxfId="348">
      <pivotArea type="all" dataOnly="0" outline="0" fieldPosition="0"/>
    </format>
    <format dxfId="347">
      <pivotArea outline="0" collapsedLevelsAreSubtotals="1" fieldPosition="0"/>
    </format>
    <format dxfId="346">
      <pivotArea field="2" type="button" dataOnly="0" labelOnly="1" outline="0" axis="axisRow" fieldPosition="0"/>
    </format>
    <format dxfId="343">
      <pivotArea dataOnly="0" labelOnly="1" fieldPosition="0">
        <references count="1">
          <reference field="2" count="10">
            <x v="6"/>
            <x v="12"/>
            <x v="27"/>
            <x v="32"/>
            <x v="48"/>
            <x v="51"/>
            <x v="53"/>
            <x v="61"/>
            <x v="72"/>
            <x v="77"/>
          </reference>
        </references>
      </pivotArea>
    </format>
    <format dxfId="341">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Dark4" showRowHeaders="0" showColHeaders="1" showRowStripes="1" showColStripes="1" showLastColumn="1"/>
  <filters count="1">
    <filter fld="2"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tist" xr10:uid="{1E25F791-36F0-4E2A-9C54-108DB05586A5}" sourceName="artist">
  <pivotTables>
    <pivotTable tabId="5" name="PivotTable4"/>
    <pivotTable tabId="5" name="PivotTable5"/>
    <pivotTable tabId="5" name="PivotTable6"/>
  </pivotTables>
  <data>
    <tabular pivotCacheId="1087717387">
      <items count="80">
        <i x="49" s="1"/>
        <i x="31" s="1"/>
        <i x="41" s="1"/>
        <i x="57" s="1"/>
        <i x="64" s="1"/>
        <i x="14" s="1"/>
        <i x="26" s="1"/>
        <i x="19" s="1"/>
        <i x="30" s="1"/>
        <i x="69" s="1"/>
        <i x="48" s="1"/>
        <i x="75" s="1"/>
        <i x="71" s="1"/>
        <i x="70" s="1"/>
        <i x="4" s="1"/>
        <i x="79" s="1"/>
        <i x="12" s="1"/>
        <i x="67" s="1"/>
        <i x="1" s="1"/>
        <i x="58" s="1"/>
        <i x="32" s="1"/>
        <i x="73" s="1"/>
        <i x="55" s="1"/>
        <i x="13" s="1"/>
        <i x="62" s="1"/>
        <i x="50" s="1"/>
        <i x="11" s="1"/>
        <i x="66" s="1"/>
        <i x="6" s="1"/>
        <i x="59" s="1"/>
        <i x="22" s="1"/>
        <i x="43" s="1"/>
        <i x="53" s="1"/>
        <i x="47" s="1"/>
        <i x="36" s="1"/>
        <i x="37" s="1"/>
        <i x="18" s="1"/>
        <i x="42" s="1"/>
        <i x="2" s="1"/>
        <i x="33" s="1"/>
        <i x="72" s="1"/>
        <i x="29" s="1"/>
        <i x="38" s="1"/>
        <i x="27" s="1"/>
        <i x="17" s="1"/>
        <i x="9" s="1"/>
        <i x="63" s="1"/>
        <i x="20" s="1"/>
        <i x="74" s="1"/>
        <i x="61" s="1"/>
        <i x="56" s="1"/>
        <i x="34" s="1"/>
        <i x="15" s="1"/>
        <i x="44" s="1"/>
        <i x="21" s="1"/>
        <i x="45" s="1"/>
        <i x="78" s="1"/>
        <i x="16" s="1"/>
        <i x="3" s="1"/>
        <i x="7" s="1"/>
        <i x="24" s="1"/>
        <i x="60" s="1"/>
        <i x="35" s="1"/>
        <i x="52" s="1"/>
        <i x="10" s="1"/>
        <i x="54" s="1"/>
        <i x="76" s="1"/>
        <i x="25" s="1"/>
        <i x="65" s="1"/>
        <i x="51" s="1"/>
        <i x="23" s="1"/>
        <i x="5" s="1"/>
        <i x="28" s="1"/>
        <i x="0" s="1"/>
        <i x="77" s="1"/>
        <i x="39" s="1"/>
        <i x="8" s="1"/>
        <i x="40" s="1"/>
        <i x="46" s="1"/>
        <i x="6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mary_genre" xr10:uid="{A9F3897B-6C5A-4CDA-A691-94A0DCD3FF15}" sourceName="primary_genre">
  <pivotTables>
    <pivotTable tabId="5" name="PivotTable4"/>
    <pivotTable tabId="5" name="PivotTable5"/>
    <pivotTable tabId="5" name="PivotTable6"/>
  </pivotTables>
  <data>
    <tabular pivotCacheId="1087717387">
      <items count="39">
        <i x="32" s="1"/>
        <i x="4" s="1"/>
        <i x="5" s="1"/>
        <i x="24" s="1"/>
        <i x="37" s="1"/>
        <i x="30" s="1"/>
        <i x="35" s="1"/>
        <i x="7" s="1"/>
        <i x="12" s="1"/>
        <i x="17" s="1"/>
        <i x="31" s="1"/>
        <i x="19" s="1"/>
        <i x="23" s="1"/>
        <i x="6" s="1"/>
        <i x="3" s="1"/>
        <i x="26" s="1"/>
        <i x="29" s="1"/>
        <i x="9" s="1"/>
        <i x="20" s="1"/>
        <i x="34" s="1"/>
        <i x="8" s="1"/>
        <i x="11" s="1"/>
        <i x="2" s="1"/>
        <i x="25" s="1"/>
        <i x="13" s="1"/>
        <i x="16" s="1"/>
        <i x="14" s="1"/>
        <i x="1" s="1"/>
        <i x="10" s="1"/>
        <i x="15" s="1"/>
        <i x="38" s="1"/>
        <i x="22" s="1"/>
        <i x="18" s="1"/>
        <i x="28" s="1"/>
        <i x="36" s="1"/>
        <i x="21" s="1"/>
        <i x="33" s="1"/>
        <i x="0" s="1"/>
        <i x="2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tist_country" xr10:uid="{6E113590-CA3A-4101-9F7F-E70EDF68BF2C}" sourceName="artist_country">
  <pivotTables>
    <pivotTable tabId="5" name="PivotTable4"/>
    <pivotTable tabId="5" name="PivotTable5"/>
    <pivotTable tabId="5" name="PivotTable6"/>
  </pivotTables>
  <data>
    <tabular pivotCacheId="1087717387">
      <items count="17">
        <i x="3" s="1"/>
        <i x="0" s="1"/>
        <i x="5" s="1"/>
        <i x="16" s="1"/>
        <i x="9" s="1"/>
        <i x="15" s="1"/>
        <i x="10" s="1"/>
        <i x="12" s="1"/>
        <i x="13" s="1"/>
        <i x="14" s="1"/>
        <i x="7" s="1"/>
        <i x="11" s="1"/>
        <i x="8" s="1"/>
        <i x="6" s="1"/>
        <i x="1" s="1"/>
        <i x="2"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licit" xr10:uid="{80D42172-BDEF-49D5-B73F-B6A12B1F6191}" sourceName="explicit">
  <pivotTables>
    <pivotTable tabId="5" name="PivotTable4"/>
    <pivotTable tabId="5" name="PivotTable5"/>
    <pivotTable tabId="5" name="PivotTable6"/>
  </pivotTables>
  <data>
    <tabular pivotCacheId="1087717387">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rtist" xr10:uid="{4FA1C19D-DFE9-43A7-B2EE-2054B97C3E4D}" cache="Slicer_artist" caption="artist" style="SlicerStyleLight3" rowHeight="247650"/>
  <slicer name="primary_genre" xr10:uid="{0ED747F7-08D2-4FAC-AB9A-29E9BDE90D89}" cache="Slicer_primary_genre" caption="Genre" style="SlicerStyleLight3" rowHeight="247650"/>
  <slicer name="artist_country" xr10:uid="{D6DD37CC-A19E-48A9-B160-AD59BC397A23}" cache="Slicer_artist_country" caption="Country" style="SlicerStyleLight3" rowHeight="247650"/>
  <slicer name="explicit" xr10:uid="{F19491C1-4E83-4F12-AC7C-DCA1B1BBFFB1}" cache="Slicer_explicit" caption="explicit" style="SlicerStyleLight3"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3B5E4B9-8EE6-47CE-B4C5-658AE55DDE65}" name="Table1" displayName="Table1" ref="A1:N101" totalsRowShown="0">
  <autoFilter ref="A1:N101" xr:uid="{E8D1B54B-0B00-4693-8EDC-72898D737B48}"/>
  <tableColumns count="14">
    <tableColumn id="1" xr3:uid="{9613D179-C529-47F0-B9B0-0C703C588798}" name="alltime_rank"/>
    <tableColumn id="2" xr3:uid="{467C7DC0-3BC0-407A-9BAF-36F3BF853ED0}" name="song_title"/>
    <tableColumn id="3" xr3:uid="{47508AEA-B6C2-42B8-9A13-99BB492EAA81}" name="artist"/>
    <tableColumn id="4" xr3:uid="{A72D04E4-BBFC-4DD5-8EE7-5896F65CA426}" name="total_streams_billions"/>
    <tableColumn id="5" xr3:uid="{0660E7B3-615F-47B1-88C7-3A7075FE70F8}" name="primary_genre"/>
    <tableColumn id="6" xr3:uid="{CAA1E7DA-410F-406A-8727-FF7EF1042AC9}" name="bpm"/>
    <tableColumn id="7" xr3:uid="{06BD1BD7-F279-491A-A2E0-A04A54D1D397}" name="release_year"/>
    <tableColumn id="8" xr3:uid="{53200819-55C5-429D-979D-C00065505906}" name="artist_country"/>
    <tableColumn id="9" xr3:uid="{A7706952-0914-4B10-BFEE-84E1DA3EE77A}" name="explicit"/>
    <tableColumn id="10" xr3:uid="{7596BF4A-569B-488F-9A9E-EAD5C5625D6A}" name="danceability"/>
    <tableColumn id="11" xr3:uid="{E2B64579-FBB4-4648-97BC-99F23C2CACDD}" name="energy"/>
    <tableColumn id="12" xr3:uid="{264E55EB-0BD1-4127-B4B5-7B085C9FC66A}" name="valence"/>
    <tableColumn id="13" xr3:uid="{25F3ECE1-74B7-4BC8-B369-A97AC09C0E2C}" name="acousticness"/>
    <tableColumn id="14" xr3:uid="{37D2FED0-1CD6-4256-A088-109B36D8E087}" name="dataset_par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8968B35-6134-419B-BA99-AF62D0DD59C9}">
  <we:reference id="wa200005271" version="2.6.1.0" store="en-US" storeType="OMEX"/>
  <we:alternateReferences>
    <we:reference id="wa200005271" version="2.6.1.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8.xml"/><Relationship Id="rId1" Type="http://schemas.openxmlformats.org/officeDocument/2006/relationships/pivotTable" Target="../pivotTables/pivotTable7.xml"/><Relationship Id="rId5" Type="http://schemas.microsoft.com/office/2007/relationships/slicer" Target="../slicers/slicer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17233-BD7A-4EFC-9458-9028C1012195}">
  <dimension ref="A1:K60"/>
  <sheetViews>
    <sheetView topLeftCell="I1" zoomScale="112" zoomScaleNormal="112" workbookViewId="0">
      <selection activeCell="F18" sqref="F18"/>
    </sheetView>
  </sheetViews>
  <sheetFormatPr defaultRowHeight="14.4" x14ac:dyDescent="0.3"/>
  <cols>
    <col min="1" max="1" width="13.33203125" bestFit="1" customWidth="1"/>
    <col min="2" max="2" width="20.21875" bestFit="1" customWidth="1"/>
    <col min="3" max="3" width="15.44140625" bestFit="1" customWidth="1"/>
    <col min="4" max="4" width="16.33203125" bestFit="1" customWidth="1"/>
    <col min="5" max="5" width="18.88671875" bestFit="1" customWidth="1"/>
    <col min="6" max="6" width="12.44140625" bestFit="1" customWidth="1"/>
    <col min="7" max="7" width="12.6640625" bestFit="1" customWidth="1"/>
    <col min="8" max="8" width="13.21875" bestFit="1" customWidth="1"/>
    <col min="9" max="9" width="28.6640625" bestFit="1" customWidth="1"/>
    <col min="10" max="10" width="25.33203125" bestFit="1" customWidth="1"/>
    <col min="11" max="11" width="27" bestFit="1" customWidth="1"/>
    <col min="12" max="19" width="18.5546875" bestFit="1" customWidth="1"/>
    <col min="20" max="20" width="10.77734375" bestFit="1" customWidth="1"/>
    <col min="21" max="90" width="29.44140625" bestFit="1" customWidth="1"/>
    <col min="91" max="91" width="10.77734375" bestFit="1" customWidth="1"/>
    <col min="92" max="99" width="5.21875" bestFit="1" customWidth="1"/>
    <col min="100" max="100" width="4.21875" bestFit="1" customWidth="1"/>
    <col min="101" max="101" width="5.21875" bestFit="1" customWidth="1"/>
    <col min="102" max="102" width="10.77734375" bestFit="1" customWidth="1"/>
    <col min="103" max="106" width="7" bestFit="1" customWidth="1"/>
    <col min="107" max="107" width="9.88671875" bestFit="1" customWidth="1"/>
    <col min="108" max="113" width="7" bestFit="1" customWidth="1"/>
    <col min="114" max="114" width="9.88671875" bestFit="1" customWidth="1"/>
    <col min="115" max="118" width="7" bestFit="1" customWidth="1"/>
    <col min="119" max="119" width="9.88671875" bestFit="1" customWidth="1"/>
    <col min="120" max="126" width="7" bestFit="1" customWidth="1"/>
    <col min="127" max="127" width="9.88671875" bestFit="1" customWidth="1"/>
    <col min="128" max="128" width="10.77734375" bestFit="1" customWidth="1"/>
  </cols>
  <sheetData>
    <row r="1" spans="1:8" ht="14.4" customHeight="1" x14ac:dyDescent="0.3"/>
    <row r="3" spans="1:8" x14ac:dyDescent="0.3">
      <c r="D3" s="1" t="s">
        <v>265</v>
      </c>
      <c r="E3" t="s">
        <v>254</v>
      </c>
      <c r="G3" s="1" t="s">
        <v>251</v>
      </c>
      <c r="H3" t="s">
        <v>260</v>
      </c>
    </row>
    <row r="4" spans="1:8" x14ac:dyDescent="0.3">
      <c r="A4" s="1" t="s">
        <v>266</v>
      </c>
      <c r="B4" t="s">
        <v>260</v>
      </c>
      <c r="D4" s="2" t="s">
        <v>268</v>
      </c>
      <c r="E4">
        <v>104.25000000000001</v>
      </c>
      <c r="G4" s="2" t="s">
        <v>35</v>
      </c>
      <c r="H4">
        <v>14.719999999999999</v>
      </c>
    </row>
    <row r="5" spans="1:8" x14ac:dyDescent="0.3">
      <c r="A5" s="2" t="s">
        <v>255</v>
      </c>
      <c r="B5">
        <v>218.77999999999994</v>
      </c>
      <c r="D5" s="2" t="s">
        <v>38</v>
      </c>
      <c r="E5">
        <v>15.93</v>
      </c>
      <c r="G5" s="2" t="s">
        <v>17</v>
      </c>
      <c r="H5">
        <v>25.12</v>
      </c>
    </row>
    <row r="6" spans="1:8" x14ac:dyDescent="0.3">
      <c r="A6" s="2" t="s">
        <v>256</v>
      </c>
      <c r="B6">
        <v>33.679999999999993</v>
      </c>
      <c r="D6" s="2" t="s">
        <v>46</v>
      </c>
      <c r="E6">
        <v>11.55</v>
      </c>
      <c r="G6" s="2" t="s">
        <v>51</v>
      </c>
      <c r="H6">
        <v>3.62</v>
      </c>
    </row>
    <row r="7" spans="1:8" x14ac:dyDescent="0.3">
      <c r="A7" s="2" t="s">
        <v>252</v>
      </c>
      <c r="B7">
        <v>252.45999999999992</v>
      </c>
      <c r="D7" s="2" t="s">
        <v>41</v>
      </c>
      <c r="E7">
        <v>17.93</v>
      </c>
      <c r="G7" s="2" t="s">
        <v>268</v>
      </c>
      <c r="H7">
        <v>20.98</v>
      </c>
    </row>
    <row r="8" spans="1:8" x14ac:dyDescent="0.3">
      <c r="D8" s="2" t="s">
        <v>54</v>
      </c>
      <c r="E8">
        <v>29.489999999999995</v>
      </c>
      <c r="G8" s="2" t="s">
        <v>79</v>
      </c>
      <c r="H8">
        <v>6.45</v>
      </c>
    </row>
    <row r="9" spans="1:8" x14ac:dyDescent="0.3">
      <c r="D9" s="2" t="s">
        <v>25</v>
      </c>
      <c r="E9">
        <v>43.97</v>
      </c>
      <c r="G9" s="2" t="s">
        <v>22</v>
      </c>
      <c r="H9">
        <v>49.159999999999989</v>
      </c>
    </row>
    <row r="10" spans="1:8" x14ac:dyDescent="0.3">
      <c r="D10" s="2" t="s">
        <v>84</v>
      </c>
      <c r="E10">
        <v>12.8</v>
      </c>
      <c r="G10" s="2" t="s">
        <v>29</v>
      </c>
      <c r="H10">
        <v>125.86000000000004</v>
      </c>
    </row>
    <row r="11" spans="1:8" x14ac:dyDescent="0.3">
      <c r="C11" s="4"/>
      <c r="D11" s="2" t="s">
        <v>16</v>
      </c>
      <c r="E11">
        <v>16.540000000000003</v>
      </c>
      <c r="G11" s="2" t="s">
        <v>47</v>
      </c>
      <c r="H11">
        <v>6.55</v>
      </c>
    </row>
    <row r="12" spans="1:8" x14ac:dyDescent="0.3">
      <c r="D12" s="2" t="s">
        <v>252</v>
      </c>
      <c r="E12">
        <v>252.46000000000004</v>
      </c>
      <c r="G12" s="2" t="s">
        <v>252</v>
      </c>
      <c r="H12">
        <v>252.46000000000004</v>
      </c>
    </row>
    <row r="16" spans="1:8" x14ac:dyDescent="0.3">
      <c r="F16" s="1" t="s">
        <v>251</v>
      </c>
      <c r="G16" t="s">
        <v>264</v>
      </c>
    </row>
    <row r="17" spans="1:11" x14ac:dyDescent="0.3">
      <c r="F17" s="2" t="s">
        <v>268</v>
      </c>
      <c r="G17" s="16">
        <v>10</v>
      </c>
    </row>
    <row r="18" spans="1:11" x14ac:dyDescent="0.3">
      <c r="F18" s="2">
        <v>2013</v>
      </c>
      <c r="G18" s="16">
        <v>5</v>
      </c>
    </row>
    <row r="19" spans="1:11" x14ac:dyDescent="0.3">
      <c r="F19" s="2">
        <v>2014</v>
      </c>
      <c r="G19" s="16">
        <v>5</v>
      </c>
    </row>
    <row r="20" spans="1:11" x14ac:dyDescent="0.3">
      <c r="A20" s="1" t="s">
        <v>251</v>
      </c>
      <c r="B20" t="s">
        <v>259</v>
      </c>
      <c r="C20" t="s">
        <v>257</v>
      </c>
      <c r="D20" t="s">
        <v>258</v>
      </c>
      <c r="F20" s="2">
        <v>2015</v>
      </c>
      <c r="G20" s="16">
        <v>2</v>
      </c>
    </row>
    <row r="21" spans="1:11" x14ac:dyDescent="0.3">
      <c r="A21" s="2" t="s">
        <v>171</v>
      </c>
      <c r="B21" s="3">
        <v>0.62</v>
      </c>
      <c r="C21" s="3">
        <v>0.38</v>
      </c>
      <c r="D21" s="3">
        <v>0.55000000000000004</v>
      </c>
      <c r="F21" s="2">
        <v>2016</v>
      </c>
      <c r="G21" s="16">
        <v>8</v>
      </c>
      <c r="I21" s="1" t="s">
        <v>1</v>
      </c>
      <c r="J21" s="1" t="s">
        <v>2</v>
      </c>
      <c r="K21" t="s">
        <v>263</v>
      </c>
    </row>
    <row r="22" spans="1:11" x14ac:dyDescent="0.3">
      <c r="A22" s="2" t="s">
        <v>32</v>
      </c>
      <c r="B22" s="3">
        <v>0.79500000000000004</v>
      </c>
      <c r="C22" s="3">
        <v>0.66999999999999993</v>
      </c>
      <c r="D22" s="3">
        <v>0.73</v>
      </c>
      <c r="F22" s="2">
        <v>2017</v>
      </c>
      <c r="G22" s="16">
        <v>10</v>
      </c>
      <c r="I22" t="s">
        <v>14</v>
      </c>
      <c r="J22" t="s">
        <v>15</v>
      </c>
      <c r="K22" s="16">
        <v>5.26</v>
      </c>
    </row>
    <row r="23" spans="1:11" x14ac:dyDescent="0.3">
      <c r="A23" s="2" t="s">
        <v>38</v>
      </c>
      <c r="B23" s="3">
        <v>0.40714285714285714</v>
      </c>
      <c r="C23" s="3">
        <v>0.71285714285714286</v>
      </c>
      <c r="D23" s="3">
        <v>0.29714285714285715</v>
      </c>
      <c r="F23" s="2">
        <v>2018</v>
      </c>
      <c r="G23" s="16">
        <v>10</v>
      </c>
      <c r="I23" t="s">
        <v>19</v>
      </c>
      <c r="J23" t="s">
        <v>20</v>
      </c>
      <c r="K23" s="16">
        <v>4.9000000000000004</v>
      </c>
    </row>
    <row r="24" spans="1:11" x14ac:dyDescent="0.3">
      <c r="A24" s="2" t="s">
        <v>129</v>
      </c>
      <c r="B24" s="3">
        <v>0.41</v>
      </c>
      <c r="C24" s="3">
        <v>0.68</v>
      </c>
      <c r="D24" s="3">
        <v>0.25</v>
      </c>
      <c r="F24" s="2">
        <v>2019</v>
      </c>
      <c r="G24" s="16">
        <v>13</v>
      </c>
      <c r="I24" t="s">
        <v>23</v>
      </c>
      <c r="J24" t="s">
        <v>24</v>
      </c>
      <c r="K24" s="16">
        <v>4.05</v>
      </c>
    </row>
    <row r="25" spans="1:11" x14ac:dyDescent="0.3">
      <c r="A25" s="2" t="s">
        <v>216</v>
      </c>
      <c r="B25" s="3">
        <v>0.3</v>
      </c>
      <c r="C25" s="3">
        <v>0.53</v>
      </c>
      <c r="D25" s="3">
        <v>0.1</v>
      </c>
      <c r="F25" s="2">
        <v>2020</v>
      </c>
      <c r="G25" s="16">
        <v>10</v>
      </c>
      <c r="I25" t="s">
        <v>26</v>
      </c>
      <c r="J25" t="s">
        <v>27</v>
      </c>
      <c r="K25" s="16">
        <v>3.98</v>
      </c>
    </row>
    <row r="26" spans="1:11" x14ac:dyDescent="0.3">
      <c r="A26" s="2" t="s">
        <v>162</v>
      </c>
      <c r="B26" s="3">
        <v>0.46</v>
      </c>
      <c r="C26" s="3">
        <v>0.48</v>
      </c>
      <c r="D26" s="3">
        <v>0.28000000000000003</v>
      </c>
      <c r="F26" s="2">
        <v>2021</v>
      </c>
      <c r="G26" s="16">
        <v>10</v>
      </c>
      <c r="I26" t="s">
        <v>30</v>
      </c>
      <c r="J26" t="s">
        <v>31</v>
      </c>
      <c r="K26" s="16">
        <v>3.92</v>
      </c>
    </row>
    <row r="27" spans="1:11" x14ac:dyDescent="0.3">
      <c r="A27" s="2" t="s">
        <v>208</v>
      </c>
      <c r="B27" s="3">
        <v>0.72</v>
      </c>
      <c r="C27" s="3">
        <v>0.65</v>
      </c>
      <c r="D27" s="3">
        <v>0.72</v>
      </c>
      <c r="F27" s="2">
        <v>2022</v>
      </c>
      <c r="G27" s="16">
        <v>6</v>
      </c>
      <c r="I27" t="s">
        <v>33</v>
      </c>
      <c r="J27" t="s">
        <v>34</v>
      </c>
      <c r="K27" s="16">
        <v>3.87</v>
      </c>
    </row>
    <row r="28" spans="1:11" x14ac:dyDescent="0.3">
      <c r="A28" s="2" t="s">
        <v>46</v>
      </c>
      <c r="B28" s="3">
        <v>0.68500000000000005</v>
      </c>
      <c r="C28" s="3">
        <v>0.77</v>
      </c>
      <c r="D28" s="3">
        <v>0.74499999999999988</v>
      </c>
      <c r="F28" s="2">
        <v>2023</v>
      </c>
      <c r="G28" s="16">
        <v>4</v>
      </c>
      <c r="I28" t="s">
        <v>36</v>
      </c>
      <c r="J28" t="s">
        <v>37</v>
      </c>
      <c r="K28" s="16">
        <v>3.76</v>
      </c>
    </row>
    <row r="29" spans="1:11" x14ac:dyDescent="0.3">
      <c r="A29" s="2" t="s">
        <v>64</v>
      </c>
      <c r="B29" s="3">
        <v>0.7</v>
      </c>
      <c r="C29" s="3">
        <v>0.43</v>
      </c>
      <c r="D29" s="3">
        <v>0.56000000000000005</v>
      </c>
      <c r="F29" s="2">
        <v>2024</v>
      </c>
      <c r="G29" s="16">
        <v>7</v>
      </c>
      <c r="I29" t="s">
        <v>39</v>
      </c>
      <c r="J29" t="s">
        <v>40</v>
      </c>
      <c r="K29" s="16">
        <v>3.72</v>
      </c>
    </row>
    <row r="30" spans="1:11" x14ac:dyDescent="0.3">
      <c r="A30" s="2" t="s">
        <v>87</v>
      </c>
      <c r="B30" s="3">
        <v>0.51</v>
      </c>
      <c r="C30" s="3">
        <v>0.49</v>
      </c>
      <c r="D30" s="3">
        <v>0.22</v>
      </c>
      <c r="F30" s="2" t="s">
        <v>252</v>
      </c>
      <c r="G30" s="16">
        <v>100</v>
      </c>
      <c r="I30" t="s">
        <v>42</v>
      </c>
      <c r="J30" t="s">
        <v>43</v>
      </c>
      <c r="K30" s="16">
        <v>3.69</v>
      </c>
    </row>
    <row r="31" spans="1:11" x14ac:dyDescent="0.3">
      <c r="A31" s="2" t="s">
        <v>169</v>
      </c>
      <c r="B31" s="3">
        <v>0.6</v>
      </c>
      <c r="C31" s="3">
        <v>0.56000000000000005</v>
      </c>
      <c r="D31" s="3">
        <v>0.52</v>
      </c>
      <c r="I31" t="s">
        <v>44</v>
      </c>
      <c r="J31" t="s">
        <v>45</v>
      </c>
      <c r="K31" s="16">
        <v>3.65</v>
      </c>
    </row>
    <row r="32" spans="1:11" x14ac:dyDescent="0.3">
      <c r="A32" s="2" t="s">
        <v>102</v>
      </c>
      <c r="B32" s="3">
        <v>0.84499999999999997</v>
      </c>
      <c r="C32" s="3">
        <v>0.84499999999999997</v>
      </c>
      <c r="D32" s="3">
        <v>0.78</v>
      </c>
    </row>
    <row r="33" spans="1:4" x14ac:dyDescent="0.3">
      <c r="A33" s="2" t="s">
        <v>123</v>
      </c>
      <c r="B33" s="3">
        <v>0.5</v>
      </c>
      <c r="C33" s="3">
        <v>0.9</v>
      </c>
      <c r="D33" s="3">
        <v>0.44</v>
      </c>
    </row>
    <row r="34" spans="1:4" x14ac:dyDescent="0.3">
      <c r="A34" s="2" t="s">
        <v>41</v>
      </c>
      <c r="B34" s="3">
        <v>0.7014285714285714</v>
      </c>
      <c r="C34" s="3">
        <v>0.65285714285714291</v>
      </c>
      <c r="D34" s="3">
        <v>0.39571428571428563</v>
      </c>
    </row>
    <row r="35" spans="1:4" x14ac:dyDescent="0.3">
      <c r="A35" s="2" t="s">
        <v>28</v>
      </c>
      <c r="B35" s="3">
        <v>0.64500000000000002</v>
      </c>
      <c r="C35" s="3">
        <v>0.43</v>
      </c>
      <c r="D35" s="3">
        <v>0.65999999999999992</v>
      </c>
    </row>
    <row r="36" spans="1:4" x14ac:dyDescent="0.3">
      <c r="A36" s="2" t="s">
        <v>136</v>
      </c>
      <c r="B36" s="3">
        <v>0.42</v>
      </c>
      <c r="C36" s="3">
        <v>0.66</v>
      </c>
      <c r="D36" s="3">
        <v>0.78</v>
      </c>
    </row>
    <row r="37" spans="1:4" x14ac:dyDescent="0.3">
      <c r="A37" s="2" t="s">
        <v>159</v>
      </c>
      <c r="B37" s="3">
        <v>0.64</v>
      </c>
      <c r="C37" s="3">
        <v>0.51500000000000001</v>
      </c>
      <c r="D37" s="3">
        <v>0.75</v>
      </c>
    </row>
    <row r="38" spans="1:4" x14ac:dyDescent="0.3">
      <c r="A38" s="2" t="s">
        <v>54</v>
      </c>
      <c r="B38" s="3">
        <v>0.52333333333333332</v>
      </c>
      <c r="C38" s="3">
        <v>0.54499999999999993</v>
      </c>
      <c r="D38" s="3">
        <v>0.50416666666666654</v>
      </c>
    </row>
    <row r="39" spans="1:4" x14ac:dyDescent="0.3">
      <c r="A39" s="2" t="s">
        <v>105</v>
      </c>
      <c r="B39" s="3">
        <v>0.55499999999999994</v>
      </c>
      <c r="C39" s="3">
        <v>0.64</v>
      </c>
      <c r="D39" s="3">
        <v>0.47</v>
      </c>
    </row>
    <row r="40" spans="1:4" x14ac:dyDescent="0.3">
      <c r="A40" s="2" t="s">
        <v>199</v>
      </c>
      <c r="B40" s="3">
        <v>0.86</v>
      </c>
      <c r="C40" s="3">
        <v>0.79</v>
      </c>
      <c r="D40" s="3">
        <v>0.88</v>
      </c>
    </row>
    <row r="41" spans="1:4" x14ac:dyDescent="0.3">
      <c r="A41" s="2" t="s">
        <v>50</v>
      </c>
      <c r="B41" s="3">
        <v>0.755</v>
      </c>
      <c r="C41" s="3">
        <v>0.65999999999999992</v>
      </c>
      <c r="D41" s="3">
        <v>0.67999999999999994</v>
      </c>
    </row>
    <row r="42" spans="1:4" x14ac:dyDescent="0.3">
      <c r="A42" s="2" t="s">
        <v>59</v>
      </c>
      <c r="B42" s="3">
        <v>0.7</v>
      </c>
      <c r="C42" s="3">
        <v>0.82</v>
      </c>
      <c r="D42" s="3">
        <v>0.91</v>
      </c>
    </row>
    <row r="43" spans="1:4" x14ac:dyDescent="0.3">
      <c r="A43" s="2" t="s">
        <v>25</v>
      </c>
      <c r="B43" s="3">
        <v>0.66999999999999993</v>
      </c>
      <c r="C43" s="3">
        <v>0.60352941176470598</v>
      </c>
      <c r="D43" s="3">
        <v>0.60882352941176465</v>
      </c>
    </row>
    <row r="44" spans="1:4" x14ac:dyDescent="0.3">
      <c r="A44" s="2" t="s">
        <v>133</v>
      </c>
      <c r="B44" s="3">
        <v>0.61333333333333329</v>
      </c>
      <c r="C44" s="3">
        <v>0.83333333333333337</v>
      </c>
      <c r="D44" s="3">
        <v>0.64333333333333342</v>
      </c>
    </row>
    <row r="45" spans="1:4" x14ac:dyDescent="0.3">
      <c r="A45" s="2" t="s">
        <v>69</v>
      </c>
      <c r="B45" s="3">
        <v>0.69</v>
      </c>
      <c r="C45" s="3">
        <v>0.55000000000000004</v>
      </c>
      <c r="D45" s="3">
        <v>0.72</v>
      </c>
    </row>
    <row r="46" spans="1:4" x14ac:dyDescent="0.3">
      <c r="A46" s="2" t="s">
        <v>84</v>
      </c>
      <c r="B46" s="3">
        <v>0.54499999999999993</v>
      </c>
      <c r="C46" s="3">
        <v>0.67166666666666675</v>
      </c>
      <c r="D46" s="3">
        <v>0.5083333333333333</v>
      </c>
    </row>
    <row r="47" spans="1:4" x14ac:dyDescent="0.3">
      <c r="A47" s="2" t="s">
        <v>74</v>
      </c>
      <c r="B47" s="3">
        <v>0.59</v>
      </c>
      <c r="C47" s="3">
        <v>0.55000000000000004</v>
      </c>
      <c r="D47" s="3">
        <v>0.37</v>
      </c>
    </row>
    <row r="48" spans="1:4" x14ac:dyDescent="0.3">
      <c r="A48" s="2" t="s">
        <v>21</v>
      </c>
      <c r="B48" s="3">
        <v>0.83</v>
      </c>
      <c r="C48" s="3">
        <v>0.65</v>
      </c>
      <c r="D48" s="3">
        <v>0.93</v>
      </c>
    </row>
    <row r="49" spans="1:4" x14ac:dyDescent="0.3">
      <c r="A49" s="2" t="s">
        <v>56</v>
      </c>
      <c r="B49" s="3">
        <v>0.66</v>
      </c>
      <c r="C49" s="3">
        <v>0.43</v>
      </c>
      <c r="D49" s="3">
        <v>0.41</v>
      </c>
    </row>
    <row r="50" spans="1:4" x14ac:dyDescent="0.3">
      <c r="A50" s="2" t="s">
        <v>78</v>
      </c>
      <c r="B50" s="3">
        <v>0.74</v>
      </c>
      <c r="C50" s="3">
        <v>0.77</v>
      </c>
      <c r="D50" s="3">
        <v>0.74</v>
      </c>
    </row>
    <row r="51" spans="1:4" x14ac:dyDescent="0.3">
      <c r="A51" s="2" t="s">
        <v>228</v>
      </c>
      <c r="B51" s="3">
        <v>0.78</v>
      </c>
      <c r="C51" s="3">
        <v>0.66</v>
      </c>
      <c r="D51" s="3">
        <v>0.8</v>
      </c>
    </row>
    <row r="52" spans="1:4" x14ac:dyDescent="0.3">
      <c r="A52" s="2" t="s">
        <v>116</v>
      </c>
      <c r="B52" s="3">
        <v>0.34</v>
      </c>
      <c r="C52" s="3">
        <v>0.26</v>
      </c>
      <c r="D52" s="3">
        <v>0.17</v>
      </c>
    </row>
    <row r="53" spans="1:4" x14ac:dyDescent="0.3">
      <c r="A53" s="2" t="s">
        <v>97</v>
      </c>
      <c r="B53" s="3">
        <v>0.4</v>
      </c>
      <c r="C53" s="3">
        <v>0.55000000000000004</v>
      </c>
      <c r="D53" s="3">
        <v>0.32</v>
      </c>
    </row>
    <row r="54" spans="1:4" x14ac:dyDescent="0.3">
      <c r="A54" s="2" t="s">
        <v>148</v>
      </c>
      <c r="B54" s="3">
        <v>0.71</v>
      </c>
      <c r="C54" s="3">
        <v>0.59000000000000008</v>
      </c>
      <c r="D54" s="3">
        <v>0.69</v>
      </c>
    </row>
    <row r="55" spans="1:4" x14ac:dyDescent="0.3">
      <c r="A55" s="2" t="s">
        <v>211</v>
      </c>
      <c r="B55" s="3">
        <v>0.6</v>
      </c>
      <c r="C55" s="3">
        <v>0.55000000000000004</v>
      </c>
      <c r="D55" s="3">
        <v>0.64</v>
      </c>
    </row>
    <row r="56" spans="1:4" x14ac:dyDescent="0.3">
      <c r="A56" s="2" t="s">
        <v>109</v>
      </c>
      <c r="B56" s="3">
        <v>0.69</v>
      </c>
      <c r="C56" s="3">
        <v>0.81</v>
      </c>
      <c r="D56" s="3">
        <v>0.81</v>
      </c>
    </row>
    <row r="57" spans="1:4" x14ac:dyDescent="0.3">
      <c r="A57" s="2" t="s">
        <v>180</v>
      </c>
      <c r="B57" s="3">
        <v>0.78</v>
      </c>
      <c r="C57" s="3">
        <v>0.44</v>
      </c>
      <c r="D57" s="3">
        <v>0.46</v>
      </c>
    </row>
    <row r="58" spans="1:4" x14ac:dyDescent="0.3">
      <c r="A58" s="2" t="s">
        <v>16</v>
      </c>
      <c r="B58" s="3">
        <v>0.60666666666666669</v>
      </c>
      <c r="C58" s="3">
        <v>0.79</v>
      </c>
      <c r="D58" s="3">
        <v>0.54333333333333333</v>
      </c>
    </row>
    <row r="59" spans="1:4" x14ac:dyDescent="0.3">
      <c r="A59" s="2" t="s">
        <v>143</v>
      </c>
      <c r="B59" s="3">
        <v>0.64</v>
      </c>
      <c r="C59" s="3">
        <v>0.61</v>
      </c>
      <c r="D59" s="3">
        <v>0.49</v>
      </c>
    </row>
    <row r="60" spans="1:4" x14ac:dyDescent="0.3">
      <c r="A60" s="2" t="s">
        <v>252</v>
      </c>
      <c r="B60" s="3">
        <v>0.61350000000000005</v>
      </c>
      <c r="C60" s="3">
        <v>0.63609999999999967</v>
      </c>
      <c r="D60" s="3">
        <v>0.55059999999999976</v>
      </c>
    </row>
  </sheetData>
  <pageMargins left="0.7" right="0.7" top="0.75" bottom="0.75" header="0.3" footer="0.3"/>
  <pageSetup orientation="portrait"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ECFC5-0803-4A3D-96EB-D179FBAECDCE}">
  <dimension ref="A1:Y35"/>
  <sheetViews>
    <sheetView tabSelected="1" zoomScale="73" zoomScaleNormal="73" workbookViewId="0">
      <selection activeCell="L37" sqref="L37"/>
    </sheetView>
  </sheetViews>
  <sheetFormatPr defaultRowHeight="14.4" x14ac:dyDescent="0.3"/>
  <cols>
    <col min="3" max="3" width="10.77734375" customWidth="1"/>
    <col min="4" max="4" width="20" customWidth="1"/>
    <col min="5" max="5" width="19.21875" bestFit="1" customWidth="1"/>
    <col min="11" max="11" width="19.5546875" bestFit="1" customWidth="1"/>
    <col min="12" max="12" width="27.44140625" bestFit="1" customWidth="1"/>
    <col min="13" max="13" width="19.21875" bestFit="1" customWidth="1"/>
    <col min="23" max="23" width="12.5546875" customWidth="1"/>
    <col min="25" max="25" width="9.33203125" customWidth="1"/>
  </cols>
  <sheetData>
    <row r="1" spans="1:25" ht="14.4" customHeight="1" x14ac:dyDescent="0.3">
      <c r="A1" s="6" t="s">
        <v>253</v>
      </c>
      <c r="B1" s="7"/>
      <c r="C1" s="7"/>
      <c r="D1" s="7"/>
      <c r="E1" s="7"/>
      <c r="F1" s="7"/>
      <c r="G1" s="7"/>
      <c r="H1" s="7"/>
      <c r="I1" s="7"/>
      <c r="J1" s="7"/>
      <c r="K1" s="7"/>
      <c r="L1" s="7"/>
      <c r="M1" s="7"/>
      <c r="N1" s="7"/>
      <c r="O1" s="7"/>
      <c r="P1" s="7"/>
      <c r="Q1" s="7"/>
      <c r="R1" s="7"/>
      <c r="S1" s="7"/>
      <c r="T1" s="7"/>
      <c r="U1" s="7"/>
      <c r="V1" s="7"/>
      <c r="W1" s="7"/>
      <c r="X1" s="8"/>
      <c r="Y1" s="27"/>
    </row>
    <row r="2" spans="1:25" ht="14.4" customHeight="1" x14ac:dyDescent="0.3">
      <c r="A2" s="9"/>
      <c r="B2" s="17"/>
      <c r="C2" s="17"/>
      <c r="D2" s="17"/>
      <c r="E2" s="17"/>
      <c r="F2" s="17"/>
      <c r="G2" s="17"/>
      <c r="H2" s="17"/>
      <c r="I2" s="17"/>
      <c r="J2" s="17"/>
      <c r="K2" s="17"/>
      <c r="L2" s="17"/>
      <c r="M2" s="17"/>
      <c r="N2" s="17"/>
      <c r="O2" s="17"/>
      <c r="P2" s="17"/>
      <c r="Q2" s="17"/>
      <c r="R2" s="17"/>
      <c r="S2" s="17"/>
      <c r="T2" s="17"/>
      <c r="U2" s="17"/>
      <c r="V2" s="17"/>
      <c r="W2" s="17"/>
      <c r="X2" s="10"/>
      <c r="Y2" s="27"/>
    </row>
    <row r="3" spans="1:25" ht="14.4" customHeight="1" thickBot="1" x14ac:dyDescent="0.35">
      <c r="A3" s="11"/>
      <c r="B3" s="12"/>
      <c r="C3" s="12"/>
      <c r="D3" s="12"/>
      <c r="E3" s="12"/>
      <c r="F3" s="12"/>
      <c r="G3" s="12"/>
      <c r="H3" s="12"/>
      <c r="I3" s="12"/>
      <c r="J3" s="12"/>
      <c r="K3" s="12"/>
      <c r="L3" s="12"/>
      <c r="M3" s="12"/>
      <c r="N3" s="12"/>
      <c r="O3" s="12"/>
      <c r="P3" s="12"/>
      <c r="Q3" s="12"/>
      <c r="R3" s="12"/>
      <c r="S3" s="12"/>
      <c r="T3" s="12"/>
      <c r="U3" s="12"/>
      <c r="V3" s="12"/>
      <c r="W3" s="12"/>
      <c r="X3" s="13"/>
      <c r="Y3" s="27"/>
    </row>
    <row r="4" spans="1:25" ht="14.4" customHeight="1" x14ac:dyDescent="0.3">
      <c r="D4" s="23" t="s">
        <v>261</v>
      </c>
      <c r="E4" s="22" t="s">
        <v>262</v>
      </c>
    </row>
    <row r="5" spans="1:25" ht="14.4" customHeight="1" x14ac:dyDescent="0.3">
      <c r="D5" s="24">
        <f>SUM(Table1[total_streams_billions])</f>
        <v>252.45999999999995</v>
      </c>
      <c r="E5" s="14">
        <f>AVERAGE(spotify_alltime_top100_songs!D2:D101)</f>
        <v>2.5245999999999995</v>
      </c>
    </row>
    <row r="6" spans="1:25" ht="14.4" customHeight="1" x14ac:dyDescent="0.3">
      <c r="D6" s="25"/>
      <c r="E6" s="15"/>
    </row>
    <row r="7" spans="1:25" ht="14.4" customHeight="1" x14ac:dyDescent="0.3">
      <c r="D7" s="25"/>
      <c r="E7" s="15"/>
    </row>
    <row r="8" spans="1:25" ht="15" thickBot="1" x14ac:dyDescent="0.35">
      <c r="D8" s="26"/>
      <c r="E8" s="15"/>
    </row>
    <row r="9" spans="1:25" ht="15" thickBot="1" x14ac:dyDescent="0.35">
      <c r="D9" s="35" t="s">
        <v>267</v>
      </c>
      <c r="E9" s="36" t="s">
        <v>260</v>
      </c>
    </row>
    <row r="10" spans="1:25" x14ac:dyDescent="0.3">
      <c r="D10" s="43" t="s">
        <v>15</v>
      </c>
      <c r="E10" s="32">
        <v>11</v>
      </c>
    </row>
    <row r="11" spans="1:25" x14ac:dyDescent="0.3">
      <c r="D11" s="42" t="s">
        <v>94</v>
      </c>
      <c r="E11" s="33">
        <v>7.3100000000000005</v>
      </c>
    </row>
    <row r="12" spans="1:25" x14ac:dyDescent="0.3">
      <c r="D12" s="42" t="s">
        <v>66</v>
      </c>
      <c r="E12" s="33">
        <v>4.82</v>
      </c>
    </row>
    <row r="13" spans="1:25" x14ac:dyDescent="0.3">
      <c r="D13" s="42" t="s">
        <v>81</v>
      </c>
      <c r="E13" s="33">
        <v>5.24</v>
      </c>
    </row>
    <row r="14" spans="1:25" x14ac:dyDescent="0.3">
      <c r="D14" s="42" t="s">
        <v>147</v>
      </c>
      <c r="E14" s="33">
        <v>4.53</v>
      </c>
    </row>
    <row r="15" spans="1:25" x14ac:dyDescent="0.3">
      <c r="D15" s="42" t="s">
        <v>37</v>
      </c>
      <c r="E15" s="33">
        <v>8.99</v>
      </c>
    </row>
    <row r="16" spans="1:25" x14ac:dyDescent="0.3">
      <c r="D16" s="42" t="s">
        <v>53</v>
      </c>
      <c r="E16" s="33">
        <v>13.15</v>
      </c>
    </row>
    <row r="17" spans="4:14" x14ac:dyDescent="0.3">
      <c r="D17" s="42" t="s">
        <v>20</v>
      </c>
      <c r="E17" s="33">
        <v>15.62</v>
      </c>
    </row>
    <row r="18" spans="4:14" x14ac:dyDescent="0.3">
      <c r="D18" s="42" t="s">
        <v>77</v>
      </c>
      <c r="E18" s="33">
        <v>4.79</v>
      </c>
    </row>
    <row r="19" spans="4:14" ht="15" thickBot="1" x14ac:dyDescent="0.35">
      <c r="D19" s="44" t="s">
        <v>142</v>
      </c>
      <c r="E19" s="34">
        <v>5.21</v>
      </c>
    </row>
    <row r="20" spans="4:14" x14ac:dyDescent="0.3">
      <c r="K20" s="28" t="s">
        <v>269</v>
      </c>
      <c r="L20" s="29" t="s">
        <v>270</v>
      </c>
      <c r="M20" s="37" t="s">
        <v>260</v>
      </c>
      <c r="N20" s="19"/>
    </row>
    <row r="21" spans="4:14" x14ac:dyDescent="0.3">
      <c r="K21" s="38" t="s">
        <v>14</v>
      </c>
      <c r="L21" s="5" t="s">
        <v>15</v>
      </c>
      <c r="M21" s="39">
        <v>5.26</v>
      </c>
      <c r="N21" s="20"/>
    </row>
    <row r="22" spans="4:14" x14ac:dyDescent="0.3">
      <c r="K22" s="18" t="s">
        <v>19</v>
      </c>
      <c r="L22" s="5" t="s">
        <v>20</v>
      </c>
      <c r="M22" s="30">
        <v>4.9000000000000004</v>
      </c>
      <c r="N22" s="20"/>
    </row>
    <row r="23" spans="4:14" x14ac:dyDescent="0.3">
      <c r="K23" s="18" t="s">
        <v>23</v>
      </c>
      <c r="L23" s="5" t="s">
        <v>24</v>
      </c>
      <c r="M23" s="30">
        <v>4.05</v>
      </c>
      <c r="N23" s="20"/>
    </row>
    <row r="24" spans="4:14" x14ac:dyDescent="0.3">
      <c r="K24" s="18" t="s">
        <v>26</v>
      </c>
      <c r="L24" s="5" t="s">
        <v>27</v>
      </c>
      <c r="M24" s="30">
        <v>3.98</v>
      </c>
      <c r="N24" s="20"/>
    </row>
    <row r="25" spans="4:14" x14ac:dyDescent="0.3">
      <c r="K25" s="18" t="s">
        <v>30</v>
      </c>
      <c r="L25" s="5" t="s">
        <v>31</v>
      </c>
      <c r="M25" s="30">
        <v>3.92</v>
      </c>
      <c r="N25" s="20"/>
    </row>
    <row r="26" spans="4:14" x14ac:dyDescent="0.3">
      <c r="K26" s="18" t="s">
        <v>33</v>
      </c>
      <c r="L26" s="5" t="s">
        <v>34</v>
      </c>
      <c r="M26" s="30">
        <v>3.87</v>
      </c>
      <c r="N26" s="20"/>
    </row>
    <row r="27" spans="4:14" x14ac:dyDescent="0.3">
      <c r="K27" s="18" t="s">
        <v>36</v>
      </c>
      <c r="L27" s="5" t="s">
        <v>37</v>
      </c>
      <c r="M27" s="30">
        <v>3.76</v>
      </c>
      <c r="N27" s="20"/>
    </row>
    <row r="28" spans="4:14" x14ac:dyDescent="0.3">
      <c r="K28" s="18" t="s">
        <v>39</v>
      </c>
      <c r="L28" s="5" t="s">
        <v>40</v>
      </c>
      <c r="M28" s="30">
        <v>3.72</v>
      </c>
      <c r="N28" s="20"/>
    </row>
    <row r="29" spans="4:14" x14ac:dyDescent="0.3">
      <c r="K29" s="18" t="s">
        <v>42</v>
      </c>
      <c r="L29" s="5" t="s">
        <v>43</v>
      </c>
      <c r="M29" s="30">
        <v>3.69</v>
      </c>
      <c r="N29" s="20"/>
    </row>
    <row r="30" spans="4:14" x14ac:dyDescent="0.3">
      <c r="K30" s="18" t="s">
        <v>44</v>
      </c>
      <c r="L30" s="5" t="s">
        <v>45</v>
      </c>
      <c r="M30" s="30">
        <v>3.65</v>
      </c>
      <c r="N30" s="20"/>
    </row>
    <row r="31" spans="4:14" x14ac:dyDescent="0.3">
      <c r="K31" s="18" t="s">
        <v>48</v>
      </c>
      <c r="L31" s="5" t="s">
        <v>49</v>
      </c>
      <c r="M31" s="30">
        <v>3.62</v>
      </c>
      <c r="N31" s="20"/>
    </row>
    <row r="32" spans="4:14" x14ac:dyDescent="0.3">
      <c r="K32" s="18" t="s">
        <v>52</v>
      </c>
      <c r="L32" s="5" t="s">
        <v>53</v>
      </c>
      <c r="M32" s="30">
        <v>3.58</v>
      </c>
      <c r="N32" s="20"/>
    </row>
    <row r="33" spans="11:14" x14ac:dyDescent="0.3">
      <c r="K33" s="18" t="s">
        <v>55</v>
      </c>
      <c r="L33" s="5" t="s">
        <v>20</v>
      </c>
      <c r="M33" s="30">
        <v>3.55</v>
      </c>
      <c r="N33" s="20"/>
    </row>
    <row r="34" spans="11:14" x14ac:dyDescent="0.3">
      <c r="K34" s="18" t="s">
        <v>57</v>
      </c>
      <c r="L34" s="5" t="s">
        <v>58</v>
      </c>
      <c r="M34" s="30">
        <v>3.52</v>
      </c>
      <c r="N34" s="20"/>
    </row>
    <row r="35" spans="11:14" ht="15" thickBot="1" x14ac:dyDescent="0.35">
      <c r="K35" s="40" t="s">
        <v>150</v>
      </c>
      <c r="L35" s="41" t="s">
        <v>37</v>
      </c>
      <c r="M35" s="31">
        <v>3.49</v>
      </c>
      <c r="N35" s="21"/>
    </row>
  </sheetData>
  <mergeCells count="3">
    <mergeCell ref="E5:E8"/>
    <mergeCell ref="D5:D8"/>
    <mergeCell ref="A1:X3"/>
  </mergeCells>
  <pageMargins left="0.7" right="0.7" top="0.75" bottom="0.75" header="0.3" footer="0.3"/>
  <pageSetup orientation="portrait" r:id="rId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1B54B-0B00-4693-8EDC-72898D737B48}">
  <sheetPr codeName="Sheet1"/>
  <dimension ref="A1:N101"/>
  <sheetViews>
    <sheetView workbookViewId="0">
      <selection activeCell="C28" sqref="C27:C28"/>
    </sheetView>
  </sheetViews>
  <sheetFormatPr defaultRowHeight="14.4" x14ac:dyDescent="0.3"/>
  <cols>
    <col min="1" max="1" width="13.33203125" customWidth="1"/>
    <col min="2" max="2" width="25.44140625" bestFit="1" customWidth="1"/>
    <col min="3" max="3" width="27.44140625" bestFit="1" customWidth="1"/>
    <col min="4" max="4" width="21.33203125" customWidth="1"/>
    <col min="5" max="5" width="14.77734375" customWidth="1"/>
    <col min="6" max="6" width="6.77734375" customWidth="1"/>
    <col min="7" max="7" width="13.33203125" customWidth="1"/>
    <col min="8" max="8" width="14.33203125" customWidth="1"/>
    <col min="9" max="9" width="9.21875" customWidth="1"/>
    <col min="10" max="10" width="13.33203125" customWidth="1"/>
    <col min="11" max="11" width="8.33203125" customWidth="1"/>
    <col min="12" max="12" width="9.33203125" customWidth="1"/>
    <col min="13" max="13" width="13.77734375" customWidth="1"/>
    <col min="14" max="14" width="32.6640625" bestFit="1"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v>1</v>
      </c>
      <c r="B2" t="s">
        <v>14</v>
      </c>
      <c r="C2" t="s">
        <v>15</v>
      </c>
      <c r="D2">
        <v>5.26</v>
      </c>
      <c r="E2" t="s">
        <v>16</v>
      </c>
      <c r="F2">
        <v>171</v>
      </c>
      <c r="G2">
        <v>2019</v>
      </c>
      <c r="H2" t="s">
        <v>17</v>
      </c>
      <c r="I2" t="b">
        <v>0</v>
      </c>
      <c r="J2">
        <v>0.51</v>
      </c>
      <c r="K2">
        <v>0.8</v>
      </c>
      <c r="L2">
        <v>0.33</v>
      </c>
      <c r="M2">
        <v>0</v>
      </c>
      <c r="N2" t="s">
        <v>18</v>
      </c>
    </row>
    <row r="3" spans="1:14" x14ac:dyDescent="0.3">
      <c r="A3">
        <v>2</v>
      </c>
      <c r="B3" t="s">
        <v>19</v>
      </c>
      <c r="C3" t="s">
        <v>20</v>
      </c>
      <c r="D3">
        <v>4.9000000000000004</v>
      </c>
      <c r="E3" t="s">
        <v>21</v>
      </c>
      <c r="F3">
        <v>96</v>
      </c>
      <c r="G3">
        <v>2017</v>
      </c>
      <c r="H3" t="s">
        <v>22</v>
      </c>
      <c r="I3" t="b">
        <v>0</v>
      </c>
      <c r="J3">
        <v>0.83</v>
      </c>
      <c r="K3">
        <v>0.65</v>
      </c>
      <c r="L3">
        <v>0.93</v>
      </c>
      <c r="M3">
        <v>0.08</v>
      </c>
      <c r="N3" t="s">
        <v>18</v>
      </c>
    </row>
    <row r="4" spans="1:14" x14ac:dyDescent="0.3">
      <c r="A4">
        <v>3</v>
      </c>
      <c r="B4" t="s">
        <v>23</v>
      </c>
      <c r="C4" t="s">
        <v>24</v>
      </c>
      <c r="D4">
        <v>4.05</v>
      </c>
      <c r="E4" t="s">
        <v>25</v>
      </c>
      <c r="F4">
        <v>77</v>
      </c>
      <c r="G4">
        <v>2018</v>
      </c>
      <c r="H4" t="s">
        <v>22</v>
      </c>
      <c r="I4" t="b">
        <v>0</v>
      </c>
      <c r="J4">
        <v>0.6</v>
      </c>
      <c r="K4">
        <v>0.45</v>
      </c>
      <c r="L4">
        <v>0.42</v>
      </c>
      <c r="M4">
        <v>0.28999999999999998</v>
      </c>
      <c r="N4" t="s">
        <v>18</v>
      </c>
    </row>
    <row r="5" spans="1:14" x14ac:dyDescent="0.3">
      <c r="A5">
        <v>4</v>
      </c>
      <c r="B5" t="s">
        <v>26</v>
      </c>
      <c r="C5" t="s">
        <v>27</v>
      </c>
      <c r="D5">
        <v>3.98</v>
      </c>
      <c r="E5" t="s">
        <v>28</v>
      </c>
      <c r="F5">
        <v>93</v>
      </c>
      <c r="G5">
        <v>2018</v>
      </c>
      <c r="H5" t="s">
        <v>29</v>
      </c>
      <c r="I5" t="b">
        <v>0</v>
      </c>
      <c r="J5">
        <v>0.76</v>
      </c>
      <c r="K5">
        <v>0.49</v>
      </c>
      <c r="L5">
        <v>0.84</v>
      </c>
      <c r="M5">
        <v>0.15</v>
      </c>
      <c r="N5" t="s">
        <v>18</v>
      </c>
    </row>
    <row r="6" spans="1:14" x14ac:dyDescent="0.3">
      <c r="A6">
        <v>5</v>
      </c>
      <c r="B6" t="s">
        <v>30</v>
      </c>
      <c r="C6" t="s">
        <v>31</v>
      </c>
      <c r="D6">
        <v>3.92</v>
      </c>
      <c r="E6" t="s">
        <v>32</v>
      </c>
      <c r="F6">
        <v>100</v>
      </c>
      <c r="G6">
        <v>2016</v>
      </c>
      <c r="H6" t="s">
        <v>17</v>
      </c>
      <c r="I6" t="b">
        <v>0</v>
      </c>
      <c r="J6">
        <v>0.79</v>
      </c>
      <c r="K6">
        <v>0.62</v>
      </c>
      <c r="L6">
        <v>0.68</v>
      </c>
      <c r="M6">
        <v>0.09</v>
      </c>
      <c r="N6" t="s">
        <v>18</v>
      </c>
    </row>
    <row r="7" spans="1:14" x14ac:dyDescent="0.3">
      <c r="A7">
        <v>6</v>
      </c>
      <c r="B7" t="s">
        <v>33</v>
      </c>
      <c r="C7" t="s">
        <v>34</v>
      </c>
      <c r="D7">
        <v>3.87</v>
      </c>
      <c r="E7" t="s">
        <v>25</v>
      </c>
      <c r="F7">
        <v>170</v>
      </c>
      <c r="G7">
        <v>2021</v>
      </c>
      <c r="H7" t="s">
        <v>35</v>
      </c>
      <c r="I7" t="b">
        <v>1</v>
      </c>
      <c r="J7">
        <v>0.59</v>
      </c>
      <c r="K7">
        <v>0.8</v>
      </c>
      <c r="L7">
        <v>0.6</v>
      </c>
      <c r="M7">
        <v>0</v>
      </c>
      <c r="N7" t="s">
        <v>18</v>
      </c>
    </row>
    <row r="8" spans="1:14" x14ac:dyDescent="0.3">
      <c r="A8">
        <v>7</v>
      </c>
      <c r="B8" t="s">
        <v>36</v>
      </c>
      <c r="C8" t="s">
        <v>37</v>
      </c>
      <c r="D8">
        <v>3.76</v>
      </c>
      <c r="E8" t="s">
        <v>38</v>
      </c>
      <c r="F8">
        <v>125</v>
      </c>
      <c r="G8">
        <v>2017</v>
      </c>
      <c r="H8" t="s">
        <v>29</v>
      </c>
      <c r="I8" t="b">
        <v>0</v>
      </c>
      <c r="J8">
        <v>0.33</v>
      </c>
      <c r="K8">
        <v>0.86</v>
      </c>
      <c r="L8">
        <v>0.45</v>
      </c>
      <c r="M8">
        <v>7.0000000000000007E-2</v>
      </c>
      <c r="N8" t="s">
        <v>18</v>
      </c>
    </row>
    <row r="9" spans="1:14" x14ac:dyDescent="0.3">
      <c r="A9">
        <v>8</v>
      </c>
      <c r="B9" t="s">
        <v>39</v>
      </c>
      <c r="C9" t="s">
        <v>40</v>
      </c>
      <c r="D9">
        <v>3.72</v>
      </c>
      <c r="E9" t="s">
        <v>41</v>
      </c>
      <c r="F9">
        <v>159</v>
      </c>
      <c r="G9">
        <v>2017</v>
      </c>
      <c r="H9" t="s">
        <v>29</v>
      </c>
      <c r="I9" t="b">
        <v>1</v>
      </c>
      <c r="J9">
        <v>0.55000000000000004</v>
      </c>
      <c r="K9">
        <v>0.52</v>
      </c>
      <c r="L9">
        <v>0.13</v>
      </c>
      <c r="M9">
        <v>0.08</v>
      </c>
      <c r="N9" t="s">
        <v>18</v>
      </c>
    </row>
    <row r="10" spans="1:14" x14ac:dyDescent="0.3">
      <c r="A10">
        <v>9</v>
      </c>
      <c r="B10" t="s">
        <v>42</v>
      </c>
      <c r="C10" t="s">
        <v>43</v>
      </c>
      <c r="D10">
        <v>3.69</v>
      </c>
      <c r="E10" t="s">
        <v>25</v>
      </c>
      <c r="F10">
        <v>98</v>
      </c>
      <c r="G10">
        <v>2019</v>
      </c>
      <c r="H10" t="s">
        <v>35</v>
      </c>
      <c r="I10" t="b">
        <v>0</v>
      </c>
      <c r="J10">
        <v>0.83</v>
      </c>
      <c r="K10">
        <v>0.63</v>
      </c>
      <c r="L10">
        <v>0.73</v>
      </c>
      <c r="M10">
        <v>0.14000000000000001</v>
      </c>
      <c r="N10" t="s">
        <v>18</v>
      </c>
    </row>
    <row r="11" spans="1:14" x14ac:dyDescent="0.3">
      <c r="A11">
        <v>10</v>
      </c>
      <c r="B11" t="s">
        <v>44</v>
      </c>
      <c r="C11" t="s">
        <v>45</v>
      </c>
      <c r="D11">
        <v>3.65</v>
      </c>
      <c r="E11" t="s">
        <v>46</v>
      </c>
      <c r="F11">
        <v>100</v>
      </c>
      <c r="G11">
        <v>2018</v>
      </c>
      <c r="H11" t="s">
        <v>47</v>
      </c>
      <c r="I11" t="b">
        <v>0</v>
      </c>
      <c r="J11">
        <v>0.62</v>
      </c>
      <c r="K11">
        <v>0.82</v>
      </c>
      <c r="L11">
        <v>0.96</v>
      </c>
      <c r="M11">
        <v>0.02</v>
      </c>
      <c r="N11" t="s">
        <v>18</v>
      </c>
    </row>
    <row r="12" spans="1:14" x14ac:dyDescent="0.3">
      <c r="A12">
        <v>11</v>
      </c>
      <c r="B12" t="s">
        <v>48</v>
      </c>
      <c r="C12" t="s">
        <v>49</v>
      </c>
      <c r="D12">
        <v>3.62</v>
      </c>
      <c r="E12" t="s">
        <v>50</v>
      </c>
      <c r="F12">
        <v>117</v>
      </c>
      <c r="G12">
        <v>2019</v>
      </c>
      <c r="H12" t="s">
        <v>51</v>
      </c>
      <c r="I12" t="b">
        <v>0</v>
      </c>
      <c r="J12">
        <v>0.75</v>
      </c>
      <c r="K12">
        <v>0.74</v>
      </c>
      <c r="L12">
        <v>0.75</v>
      </c>
      <c r="M12">
        <v>0.14000000000000001</v>
      </c>
      <c r="N12" t="s">
        <v>18</v>
      </c>
    </row>
    <row r="13" spans="1:14" x14ac:dyDescent="0.3">
      <c r="A13">
        <v>12</v>
      </c>
      <c r="B13" t="s">
        <v>52</v>
      </c>
      <c r="C13" t="s">
        <v>53</v>
      </c>
      <c r="D13">
        <v>3.58</v>
      </c>
      <c r="E13" t="s">
        <v>54</v>
      </c>
      <c r="F13">
        <v>95</v>
      </c>
      <c r="G13">
        <v>2019</v>
      </c>
      <c r="H13" t="s">
        <v>22</v>
      </c>
      <c r="I13" t="b">
        <v>0</v>
      </c>
      <c r="J13">
        <v>0.55000000000000004</v>
      </c>
      <c r="K13">
        <v>0.82</v>
      </c>
      <c r="L13">
        <v>0.74</v>
      </c>
      <c r="M13">
        <v>0.12</v>
      </c>
      <c r="N13" t="s">
        <v>18</v>
      </c>
    </row>
    <row r="14" spans="1:14" x14ac:dyDescent="0.3">
      <c r="A14">
        <v>13</v>
      </c>
      <c r="B14" t="s">
        <v>55</v>
      </c>
      <c r="C14" t="s">
        <v>20</v>
      </c>
      <c r="D14">
        <v>3.55</v>
      </c>
      <c r="E14" t="s">
        <v>56</v>
      </c>
      <c r="F14">
        <v>95</v>
      </c>
      <c r="G14">
        <v>2017</v>
      </c>
      <c r="H14" t="s">
        <v>22</v>
      </c>
      <c r="I14" t="b">
        <v>0</v>
      </c>
      <c r="J14">
        <v>0.66</v>
      </c>
      <c r="K14">
        <v>0.43</v>
      </c>
      <c r="L14">
        <v>0.41</v>
      </c>
      <c r="M14">
        <v>0.37</v>
      </c>
      <c r="N14" t="s">
        <v>18</v>
      </c>
    </row>
    <row r="15" spans="1:14" x14ac:dyDescent="0.3">
      <c r="A15">
        <v>14</v>
      </c>
      <c r="B15" t="s">
        <v>57</v>
      </c>
      <c r="C15" t="s">
        <v>58</v>
      </c>
      <c r="D15">
        <v>3.52</v>
      </c>
      <c r="E15" t="s">
        <v>59</v>
      </c>
      <c r="F15">
        <v>103</v>
      </c>
      <c r="G15">
        <v>2020</v>
      </c>
      <c r="H15" t="s">
        <v>22</v>
      </c>
      <c r="I15" t="b">
        <v>0</v>
      </c>
      <c r="J15">
        <v>0.7</v>
      </c>
      <c r="K15">
        <v>0.82</v>
      </c>
      <c r="L15">
        <v>0.91</v>
      </c>
      <c r="M15">
        <v>0</v>
      </c>
      <c r="N15" t="s">
        <v>18</v>
      </c>
    </row>
    <row r="16" spans="1:14" x14ac:dyDescent="0.3">
      <c r="A16">
        <v>15</v>
      </c>
      <c r="B16" t="s">
        <v>60</v>
      </c>
      <c r="C16" t="s">
        <v>61</v>
      </c>
      <c r="D16">
        <v>3.4</v>
      </c>
      <c r="E16" t="s">
        <v>54</v>
      </c>
      <c r="F16">
        <v>80</v>
      </c>
      <c r="G16">
        <v>2020</v>
      </c>
      <c r="H16" t="s">
        <v>22</v>
      </c>
      <c r="I16" t="b">
        <v>0</v>
      </c>
      <c r="J16">
        <v>0.51</v>
      </c>
      <c r="K16">
        <v>0.54</v>
      </c>
      <c r="L16">
        <v>0.57999999999999996</v>
      </c>
      <c r="M16">
        <v>0.22</v>
      </c>
      <c r="N16" t="s">
        <v>18</v>
      </c>
    </row>
    <row r="17" spans="1:14" x14ac:dyDescent="0.3">
      <c r="A17">
        <v>16</v>
      </c>
      <c r="B17" t="s">
        <v>62</v>
      </c>
      <c r="C17" t="s">
        <v>63</v>
      </c>
      <c r="D17">
        <v>3.37</v>
      </c>
      <c r="E17" t="s">
        <v>64</v>
      </c>
      <c r="F17">
        <v>135</v>
      </c>
      <c r="G17">
        <v>2019</v>
      </c>
      <c r="H17" t="s">
        <v>29</v>
      </c>
      <c r="I17" t="b">
        <v>0</v>
      </c>
      <c r="J17">
        <v>0.7</v>
      </c>
      <c r="K17">
        <v>0.43</v>
      </c>
      <c r="L17">
        <v>0.56000000000000005</v>
      </c>
      <c r="M17">
        <v>0</v>
      </c>
      <c r="N17" t="s">
        <v>18</v>
      </c>
    </row>
    <row r="18" spans="1:14" x14ac:dyDescent="0.3">
      <c r="A18">
        <v>17</v>
      </c>
      <c r="B18" t="s">
        <v>65</v>
      </c>
      <c r="C18" t="s">
        <v>66</v>
      </c>
      <c r="D18">
        <v>3.34</v>
      </c>
      <c r="E18" t="s">
        <v>25</v>
      </c>
      <c r="F18">
        <v>73</v>
      </c>
      <c r="G18">
        <v>2021</v>
      </c>
      <c r="H18" t="s">
        <v>29</v>
      </c>
      <c r="I18" t="b">
        <v>0</v>
      </c>
      <c r="J18">
        <v>0.59</v>
      </c>
      <c r="K18">
        <v>0.43</v>
      </c>
      <c r="L18">
        <v>0.13</v>
      </c>
      <c r="M18">
        <v>0.28000000000000003</v>
      </c>
      <c r="N18" t="s">
        <v>18</v>
      </c>
    </row>
    <row r="19" spans="1:14" x14ac:dyDescent="0.3">
      <c r="A19">
        <v>18</v>
      </c>
      <c r="B19" t="s">
        <v>67</v>
      </c>
      <c r="C19" t="s">
        <v>68</v>
      </c>
      <c r="D19">
        <v>3.31</v>
      </c>
      <c r="E19" t="s">
        <v>69</v>
      </c>
      <c r="F19">
        <v>121</v>
      </c>
      <c r="G19">
        <v>2019</v>
      </c>
      <c r="H19" t="s">
        <v>29</v>
      </c>
      <c r="I19" t="b">
        <v>0</v>
      </c>
      <c r="J19">
        <v>0.69</v>
      </c>
      <c r="K19">
        <v>0.55000000000000004</v>
      </c>
      <c r="L19">
        <v>0.72</v>
      </c>
      <c r="M19">
        <v>0.09</v>
      </c>
      <c r="N19" t="s">
        <v>18</v>
      </c>
    </row>
    <row r="20" spans="1:14" x14ac:dyDescent="0.3">
      <c r="A20">
        <v>19</v>
      </c>
      <c r="B20" t="s">
        <v>70</v>
      </c>
      <c r="C20" t="s">
        <v>71</v>
      </c>
      <c r="D20">
        <v>3.28</v>
      </c>
      <c r="E20" t="s">
        <v>25</v>
      </c>
      <c r="F20">
        <v>91</v>
      </c>
      <c r="G20">
        <v>2019</v>
      </c>
      <c r="H20" t="s">
        <v>29</v>
      </c>
      <c r="I20" t="b">
        <v>0</v>
      </c>
      <c r="J20">
        <v>0.76</v>
      </c>
      <c r="K20">
        <v>0.36</v>
      </c>
      <c r="L20">
        <v>0.7</v>
      </c>
      <c r="M20">
        <v>0.52</v>
      </c>
      <c r="N20" t="s">
        <v>18</v>
      </c>
    </row>
    <row r="21" spans="1:14" x14ac:dyDescent="0.3">
      <c r="A21">
        <v>20</v>
      </c>
      <c r="B21" t="s">
        <v>72</v>
      </c>
      <c r="C21" t="s">
        <v>73</v>
      </c>
      <c r="D21">
        <v>3.25</v>
      </c>
      <c r="E21" t="s">
        <v>74</v>
      </c>
      <c r="F21">
        <v>96</v>
      </c>
      <c r="G21">
        <v>2018</v>
      </c>
      <c r="H21" t="s">
        <v>29</v>
      </c>
      <c r="I21" t="b">
        <v>0</v>
      </c>
      <c r="J21">
        <v>0.59</v>
      </c>
      <c r="K21">
        <v>0.55000000000000004</v>
      </c>
      <c r="L21">
        <v>0.37</v>
      </c>
      <c r="M21">
        <v>0.22</v>
      </c>
      <c r="N21" t="s">
        <v>18</v>
      </c>
    </row>
    <row r="22" spans="1:14" x14ac:dyDescent="0.3">
      <c r="A22">
        <v>21</v>
      </c>
      <c r="B22" t="s">
        <v>75</v>
      </c>
      <c r="C22" t="s">
        <v>53</v>
      </c>
      <c r="D22">
        <v>3.22</v>
      </c>
      <c r="E22" t="s">
        <v>54</v>
      </c>
      <c r="F22">
        <v>174</v>
      </c>
      <c r="G22">
        <v>2022</v>
      </c>
      <c r="H22" t="s">
        <v>22</v>
      </c>
      <c r="I22" t="b">
        <v>0</v>
      </c>
      <c r="J22">
        <v>0.52</v>
      </c>
      <c r="K22">
        <v>0.73</v>
      </c>
      <c r="L22">
        <v>0.36</v>
      </c>
      <c r="M22">
        <v>0</v>
      </c>
      <c r="N22" t="s">
        <v>18</v>
      </c>
    </row>
    <row r="23" spans="1:14" x14ac:dyDescent="0.3">
      <c r="A23">
        <v>22</v>
      </c>
      <c r="B23" t="s">
        <v>76</v>
      </c>
      <c r="C23" t="s">
        <v>77</v>
      </c>
      <c r="D23">
        <v>3.19</v>
      </c>
      <c r="E23" t="s">
        <v>78</v>
      </c>
      <c r="F23">
        <v>114</v>
      </c>
      <c r="G23">
        <v>2020</v>
      </c>
      <c r="H23" t="s">
        <v>79</v>
      </c>
      <c r="I23" t="b">
        <v>0</v>
      </c>
      <c r="J23">
        <v>0.74</v>
      </c>
      <c r="K23">
        <v>0.77</v>
      </c>
      <c r="L23">
        <v>0.74</v>
      </c>
      <c r="M23">
        <v>0.01</v>
      </c>
      <c r="N23" t="s">
        <v>18</v>
      </c>
    </row>
    <row r="24" spans="1:14" x14ac:dyDescent="0.3">
      <c r="A24">
        <v>23</v>
      </c>
      <c r="B24" t="s">
        <v>80</v>
      </c>
      <c r="C24" t="s">
        <v>81</v>
      </c>
      <c r="D24">
        <v>3.16</v>
      </c>
      <c r="E24" t="s">
        <v>25</v>
      </c>
      <c r="F24">
        <v>118</v>
      </c>
      <c r="G24">
        <v>2023</v>
      </c>
      <c r="H24" t="s">
        <v>29</v>
      </c>
      <c r="I24" t="b">
        <v>0</v>
      </c>
      <c r="J24">
        <v>0.74</v>
      </c>
      <c r="K24">
        <v>0.74</v>
      </c>
      <c r="L24">
        <v>0.88</v>
      </c>
      <c r="M24">
        <v>0.1</v>
      </c>
      <c r="N24" t="s">
        <v>18</v>
      </c>
    </row>
    <row r="25" spans="1:14" x14ac:dyDescent="0.3">
      <c r="A25">
        <v>24</v>
      </c>
      <c r="B25" t="s">
        <v>82</v>
      </c>
      <c r="C25" t="s">
        <v>83</v>
      </c>
      <c r="D25">
        <v>3.14</v>
      </c>
      <c r="E25" t="s">
        <v>84</v>
      </c>
      <c r="F25">
        <v>122</v>
      </c>
      <c r="G25">
        <v>2013</v>
      </c>
      <c r="H25" t="s">
        <v>29</v>
      </c>
      <c r="I25" t="b">
        <v>0</v>
      </c>
      <c r="J25">
        <v>0.62</v>
      </c>
      <c r="K25">
        <v>0.8</v>
      </c>
      <c r="L25">
        <v>0.57999999999999996</v>
      </c>
      <c r="M25">
        <v>0.12</v>
      </c>
      <c r="N25" t="s">
        <v>18</v>
      </c>
    </row>
    <row r="26" spans="1:14" x14ac:dyDescent="0.3">
      <c r="A26">
        <v>25</v>
      </c>
      <c r="B26" t="s">
        <v>85</v>
      </c>
      <c r="C26" t="s">
        <v>86</v>
      </c>
      <c r="D26">
        <v>3.11</v>
      </c>
      <c r="E26" t="s">
        <v>87</v>
      </c>
      <c r="F26">
        <v>84</v>
      </c>
      <c r="G26">
        <v>2018</v>
      </c>
      <c r="H26" t="s">
        <v>29</v>
      </c>
      <c r="I26" t="b">
        <v>1</v>
      </c>
      <c r="J26">
        <v>0.51</v>
      </c>
      <c r="K26">
        <v>0.49</v>
      </c>
      <c r="L26">
        <v>0.22</v>
      </c>
      <c r="M26">
        <v>7.0000000000000007E-2</v>
      </c>
      <c r="N26" t="s">
        <v>18</v>
      </c>
    </row>
    <row r="27" spans="1:14" x14ac:dyDescent="0.3">
      <c r="A27">
        <v>26</v>
      </c>
      <c r="B27" t="s">
        <v>88</v>
      </c>
      <c r="C27" t="s">
        <v>89</v>
      </c>
      <c r="D27">
        <v>3.08</v>
      </c>
      <c r="E27" t="s">
        <v>46</v>
      </c>
      <c r="F27">
        <v>95</v>
      </c>
      <c r="G27">
        <v>2016</v>
      </c>
      <c r="H27" t="s">
        <v>29</v>
      </c>
      <c r="I27" t="b">
        <v>1</v>
      </c>
      <c r="J27">
        <v>0.74</v>
      </c>
      <c r="K27">
        <v>0.65</v>
      </c>
      <c r="L27">
        <v>0.77</v>
      </c>
      <c r="M27">
        <v>0.04</v>
      </c>
      <c r="N27" t="s">
        <v>18</v>
      </c>
    </row>
    <row r="28" spans="1:14" x14ac:dyDescent="0.3">
      <c r="A28">
        <v>27</v>
      </c>
      <c r="B28" t="s">
        <v>90</v>
      </c>
      <c r="C28" t="s">
        <v>91</v>
      </c>
      <c r="D28">
        <v>3.02</v>
      </c>
      <c r="E28" t="s">
        <v>32</v>
      </c>
      <c r="F28">
        <v>106</v>
      </c>
      <c r="G28">
        <v>2022</v>
      </c>
      <c r="H28" t="s">
        <v>92</v>
      </c>
      <c r="I28" t="b">
        <v>0</v>
      </c>
      <c r="J28">
        <v>0.8</v>
      </c>
      <c r="K28">
        <v>0.72</v>
      </c>
      <c r="L28">
        <v>0.78</v>
      </c>
      <c r="M28">
        <v>0.08</v>
      </c>
      <c r="N28" t="s">
        <v>18</v>
      </c>
    </row>
    <row r="29" spans="1:14" x14ac:dyDescent="0.3">
      <c r="A29">
        <v>28</v>
      </c>
      <c r="B29" t="s">
        <v>93</v>
      </c>
      <c r="C29" t="s">
        <v>94</v>
      </c>
      <c r="D29">
        <v>2.99</v>
      </c>
      <c r="E29" t="s">
        <v>54</v>
      </c>
      <c r="F29">
        <v>97</v>
      </c>
      <c r="G29">
        <v>2022</v>
      </c>
      <c r="H29" t="s">
        <v>29</v>
      </c>
      <c r="I29" t="b">
        <v>0</v>
      </c>
      <c r="J29">
        <v>0.64</v>
      </c>
      <c r="K29">
        <v>0.57999999999999996</v>
      </c>
      <c r="L29">
        <v>0.47</v>
      </c>
      <c r="M29">
        <v>0.1</v>
      </c>
      <c r="N29" t="s">
        <v>18</v>
      </c>
    </row>
    <row r="30" spans="1:14" x14ac:dyDescent="0.3">
      <c r="A30">
        <v>29</v>
      </c>
      <c r="B30" t="s">
        <v>95</v>
      </c>
      <c r="C30" t="s">
        <v>15</v>
      </c>
      <c r="D30">
        <v>2.88</v>
      </c>
      <c r="E30" t="s">
        <v>16</v>
      </c>
      <c r="F30">
        <v>118</v>
      </c>
      <c r="G30">
        <v>2020</v>
      </c>
      <c r="H30" t="s">
        <v>17</v>
      </c>
      <c r="I30" t="b">
        <v>0</v>
      </c>
      <c r="J30">
        <v>0.68</v>
      </c>
      <c r="K30">
        <v>0.82</v>
      </c>
      <c r="L30">
        <v>0.78</v>
      </c>
      <c r="M30">
        <v>0.01</v>
      </c>
      <c r="N30" t="s">
        <v>18</v>
      </c>
    </row>
    <row r="31" spans="1:14" x14ac:dyDescent="0.3">
      <c r="A31">
        <v>30</v>
      </c>
      <c r="B31" t="s">
        <v>96</v>
      </c>
      <c r="C31" t="s">
        <v>15</v>
      </c>
      <c r="D31">
        <v>2.86</v>
      </c>
      <c r="E31" t="s">
        <v>97</v>
      </c>
      <c r="F31">
        <v>95</v>
      </c>
      <c r="G31">
        <v>2016</v>
      </c>
      <c r="H31" t="s">
        <v>17</v>
      </c>
      <c r="I31" t="b">
        <v>0</v>
      </c>
      <c r="J31">
        <v>0.4</v>
      </c>
      <c r="K31">
        <v>0.55000000000000004</v>
      </c>
      <c r="L31">
        <v>0.32</v>
      </c>
      <c r="M31">
        <v>0.04</v>
      </c>
      <c r="N31" t="s">
        <v>18</v>
      </c>
    </row>
    <row r="32" spans="1:14" x14ac:dyDescent="0.3">
      <c r="A32">
        <v>31</v>
      </c>
      <c r="B32" t="s">
        <v>98</v>
      </c>
      <c r="C32" t="s">
        <v>99</v>
      </c>
      <c r="D32">
        <v>2.84</v>
      </c>
      <c r="E32" t="s">
        <v>54</v>
      </c>
      <c r="F32">
        <v>95</v>
      </c>
      <c r="G32">
        <v>2018</v>
      </c>
      <c r="H32" t="s">
        <v>29</v>
      </c>
      <c r="I32" t="b">
        <v>0</v>
      </c>
      <c r="J32">
        <v>0.35</v>
      </c>
      <c r="K32">
        <v>0.3</v>
      </c>
      <c r="L32">
        <v>0.08</v>
      </c>
      <c r="M32">
        <v>0.5</v>
      </c>
      <c r="N32" t="s">
        <v>18</v>
      </c>
    </row>
    <row r="33" spans="1:14" x14ac:dyDescent="0.3">
      <c r="A33">
        <v>32</v>
      </c>
      <c r="B33" t="s">
        <v>100</v>
      </c>
      <c r="C33" t="s">
        <v>101</v>
      </c>
      <c r="D33">
        <v>2.5299999999999998</v>
      </c>
      <c r="E33" t="s">
        <v>102</v>
      </c>
      <c r="F33">
        <v>115</v>
      </c>
      <c r="G33">
        <v>2014</v>
      </c>
      <c r="H33" t="s">
        <v>29</v>
      </c>
      <c r="I33" t="b">
        <v>0</v>
      </c>
      <c r="J33">
        <v>0.9</v>
      </c>
      <c r="K33">
        <v>0.96</v>
      </c>
      <c r="L33">
        <v>0.82</v>
      </c>
      <c r="M33">
        <v>0.02</v>
      </c>
      <c r="N33" t="s">
        <v>18</v>
      </c>
    </row>
    <row r="34" spans="1:14" x14ac:dyDescent="0.3">
      <c r="A34">
        <v>33</v>
      </c>
      <c r="B34" t="s">
        <v>103</v>
      </c>
      <c r="C34" t="s">
        <v>104</v>
      </c>
      <c r="D34">
        <v>2.4700000000000002</v>
      </c>
      <c r="E34" t="s">
        <v>105</v>
      </c>
      <c r="F34">
        <v>124</v>
      </c>
      <c r="G34">
        <v>2013</v>
      </c>
      <c r="H34" t="s">
        <v>29</v>
      </c>
      <c r="I34" t="b">
        <v>0</v>
      </c>
      <c r="J34">
        <v>0.59</v>
      </c>
      <c r="K34">
        <v>0.64</v>
      </c>
      <c r="L34">
        <v>0.5</v>
      </c>
      <c r="M34">
        <v>0.26</v>
      </c>
      <c r="N34" t="s">
        <v>18</v>
      </c>
    </row>
    <row r="35" spans="1:14" x14ac:dyDescent="0.3">
      <c r="A35">
        <v>34</v>
      </c>
      <c r="B35" t="s">
        <v>106</v>
      </c>
      <c r="C35" t="s">
        <v>94</v>
      </c>
      <c r="D35">
        <v>2.72</v>
      </c>
      <c r="E35" t="s">
        <v>16</v>
      </c>
      <c r="F35">
        <v>170</v>
      </c>
      <c r="G35">
        <v>2019</v>
      </c>
      <c r="H35" t="s">
        <v>29</v>
      </c>
      <c r="I35" t="b">
        <v>0</v>
      </c>
      <c r="J35">
        <v>0.55000000000000004</v>
      </c>
      <c r="K35">
        <v>0.7</v>
      </c>
      <c r="L35">
        <v>0.56999999999999995</v>
      </c>
      <c r="M35">
        <v>0.12</v>
      </c>
      <c r="N35" t="s">
        <v>18</v>
      </c>
    </row>
    <row r="36" spans="1:14" x14ac:dyDescent="0.3">
      <c r="A36">
        <v>35</v>
      </c>
      <c r="B36" t="s">
        <v>107</v>
      </c>
      <c r="C36" t="s">
        <v>108</v>
      </c>
      <c r="D36">
        <v>2.15</v>
      </c>
      <c r="E36" t="s">
        <v>109</v>
      </c>
      <c r="F36">
        <v>178</v>
      </c>
      <c r="G36">
        <v>2017</v>
      </c>
      <c r="H36" t="s">
        <v>110</v>
      </c>
      <c r="I36" t="b">
        <v>0</v>
      </c>
      <c r="J36">
        <v>0.69</v>
      </c>
      <c r="K36">
        <v>0.81</v>
      </c>
      <c r="L36">
        <v>0.81</v>
      </c>
      <c r="M36">
        <v>0.22</v>
      </c>
      <c r="N36" t="s">
        <v>18</v>
      </c>
    </row>
    <row r="37" spans="1:14" x14ac:dyDescent="0.3">
      <c r="A37">
        <v>36</v>
      </c>
      <c r="B37" t="s">
        <v>111</v>
      </c>
      <c r="C37" t="s">
        <v>112</v>
      </c>
      <c r="D37">
        <v>2.13</v>
      </c>
      <c r="E37" t="s">
        <v>50</v>
      </c>
      <c r="F37">
        <v>105</v>
      </c>
      <c r="G37">
        <v>2017</v>
      </c>
      <c r="H37" t="s">
        <v>113</v>
      </c>
      <c r="I37" t="b">
        <v>0</v>
      </c>
      <c r="J37">
        <v>0.76</v>
      </c>
      <c r="K37">
        <v>0.57999999999999996</v>
      </c>
      <c r="L37">
        <v>0.61</v>
      </c>
      <c r="M37">
        <v>0.14000000000000001</v>
      </c>
      <c r="N37" t="s">
        <v>18</v>
      </c>
    </row>
    <row r="38" spans="1:14" x14ac:dyDescent="0.3">
      <c r="A38">
        <v>37</v>
      </c>
      <c r="B38" t="s">
        <v>114</v>
      </c>
      <c r="C38" t="s">
        <v>115</v>
      </c>
      <c r="D38">
        <v>2.02</v>
      </c>
      <c r="E38" t="s">
        <v>116</v>
      </c>
      <c r="F38">
        <v>62</v>
      </c>
      <c r="G38">
        <v>2021</v>
      </c>
      <c r="H38" t="s">
        <v>22</v>
      </c>
      <c r="I38" t="b">
        <v>0</v>
      </c>
      <c r="J38">
        <v>0.34</v>
      </c>
      <c r="K38">
        <v>0.26</v>
      </c>
      <c r="L38">
        <v>0.17</v>
      </c>
      <c r="M38">
        <v>0.76</v>
      </c>
      <c r="N38" t="s">
        <v>18</v>
      </c>
    </row>
    <row r="39" spans="1:14" x14ac:dyDescent="0.3">
      <c r="A39">
        <v>38</v>
      </c>
      <c r="B39" t="s">
        <v>117</v>
      </c>
      <c r="C39" t="s">
        <v>118</v>
      </c>
      <c r="D39">
        <v>1.95</v>
      </c>
      <c r="E39" t="s">
        <v>41</v>
      </c>
      <c r="F39">
        <v>171</v>
      </c>
      <c r="G39">
        <v>2002</v>
      </c>
      <c r="H39" t="s">
        <v>29</v>
      </c>
      <c r="I39" t="b">
        <v>1</v>
      </c>
      <c r="J39">
        <v>0.66</v>
      </c>
      <c r="K39">
        <v>0.62</v>
      </c>
      <c r="L39">
        <v>0.26</v>
      </c>
      <c r="M39">
        <v>0</v>
      </c>
      <c r="N39" t="s">
        <v>18</v>
      </c>
    </row>
    <row r="40" spans="1:14" x14ac:dyDescent="0.3">
      <c r="A40">
        <v>39</v>
      </c>
      <c r="B40" t="s">
        <v>119</v>
      </c>
      <c r="C40" t="s">
        <v>120</v>
      </c>
      <c r="D40">
        <v>1.82</v>
      </c>
      <c r="E40" t="s">
        <v>38</v>
      </c>
      <c r="F40">
        <v>118</v>
      </c>
      <c r="G40">
        <v>2003</v>
      </c>
      <c r="H40" t="s">
        <v>29</v>
      </c>
      <c r="I40" t="b">
        <v>0</v>
      </c>
      <c r="J40">
        <v>0.46</v>
      </c>
      <c r="K40">
        <v>0.9</v>
      </c>
      <c r="L40">
        <v>0.15</v>
      </c>
      <c r="M40">
        <v>0.02</v>
      </c>
      <c r="N40" t="s">
        <v>18</v>
      </c>
    </row>
    <row r="41" spans="1:14" x14ac:dyDescent="0.3">
      <c r="A41">
        <v>40</v>
      </c>
      <c r="B41" t="s">
        <v>121</v>
      </c>
      <c r="C41" t="s">
        <v>122</v>
      </c>
      <c r="D41">
        <v>1.8</v>
      </c>
      <c r="E41" t="s">
        <v>123</v>
      </c>
      <c r="F41">
        <v>117</v>
      </c>
      <c r="G41">
        <v>1991</v>
      </c>
      <c r="H41" t="s">
        <v>29</v>
      </c>
      <c r="I41" t="b">
        <v>0</v>
      </c>
      <c r="J41">
        <v>0.5</v>
      </c>
      <c r="K41">
        <v>0.9</v>
      </c>
      <c r="L41">
        <v>0.44</v>
      </c>
      <c r="M41">
        <v>0</v>
      </c>
      <c r="N41" t="s">
        <v>18</v>
      </c>
    </row>
    <row r="42" spans="1:14" x14ac:dyDescent="0.3">
      <c r="A42">
        <v>41</v>
      </c>
      <c r="B42" t="s">
        <v>124</v>
      </c>
      <c r="C42" t="s">
        <v>125</v>
      </c>
      <c r="D42">
        <v>1.76</v>
      </c>
      <c r="E42" t="s">
        <v>25</v>
      </c>
      <c r="F42">
        <v>104</v>
      </c>
      <c r="G42">
        <v>2024</v>
      </c>
      <c r="H42" t="s">
        <v>29</v>
      </c>
      <c r="I42" t="b">
        <v>0</v>
      </c>
      <c r="J42">
        <v>0.8</v>
      </c>
      <c r="K42">
        <v>0.73</v>
      </c>
      <c r="L42">
        <v>0.96</v>
      </c>
      <c r="M42">
        <v>0.06</v>
      </c>
      <c r="N42" t="s">
        <v>18</v>
      </c>
    </row>
    <row r="43" spans="1:14" x14ac:dyDescent="0.3">
      <c r="A43">
        <v>42</v>
      </c>
      <c r="B43" t="s">
        <v>126</v>
      </c>
      <c r="C43" t="s">
        <v>37</v>
      </c>
      <c r="D43">
        <v>1.74</v>
      </c>
      <c r="E43" t="s">
        <v>38</v>
      </c>
      <c r="F43">
        <v>136</v>
      </c>
      <c r="G43">
        <v>2012</v>
      </c>
      <c r="H43" t="s">
        <v>29</v>
      </c>
      <c r="I43" t="b">
        <v>0</v>
      </c>
      <c r="J43">
        <v>0.38</v>
      </c>
      <c r="K43">
        <v>0.76</v>
      </c>
      <c r="L43">
        <v>0.23</v>
      </c>
      <c r="M43">
        <v>0.1</v>
      </c>
      <c r="N43" t="s">
        <v>18</v>
      </c>
    </row>
    <row r="44" spans="1:14" x14ac:dyDescent="0.3">
      <c r="A44">
        <v>43</v>
      </c>
      <c r="B44" t="s">
        <v>127</v>
      </c>
      <c r="C44" t="s">
        <v>128</v>
      </c>
      <c r="D44">
        <v>1.52</v>
      </c>
      <c r="E44" t="s">
        <v>129</v>
      </c>
      <c r="F44">
        <v>112</v>
      </c>
      <c r="G44">
        <v>1985</v>
      </c>
      <c r="H44" t="s">
        <v>22</v>
      </c>
      <c r="I44" t="b">
        <v>0</v>
      </c>
      <c r="J44">
        <v>0.41</v>
      </c>
      <c r="K44">
        <v>0.68</v>
      </c>
      <c r="L44">
        <v>0.25</v>
      </c>
      <c r="M44">
        <v>0.08</v>
      </c>
      <c r="N44" t="s">
        <v>18</v>
      </c>
    </row>
    <row r="45" spans="1:14" x14ac:dyDescent="0.3">
      <c r="A45">
        <v>44</v>
      </c>
      <c r="B45" t="s">
        <v>130</v>
      </c>
      <c r="C45" t="s">
        <v>131</v>
      </c>
      <c r="D45">
        <v>1.5</v>
      </c>
      <c r="E45" t="s">
        <v>41</v>
      </c>
      <c r="F45">
        <v>101</v>
      </c>
      <c r="G45">
        <v>2024</v>
      </c>
      <c r="H45" t="s">
        <v>29</v>
      </c>
      <c r="I45" t="b">
        <v>1</v>
      </c>
      <c r="J45">
        <v>0.82</v>
      </c>
      <c r="K45">
        <v>0.72</v>
      </c>
      <c r="L45">
        <v>0.62</v>
      </c>
      <c r="M45">
        <v>0.04</v>
      </c>
      <c r="N45" t="s">
        <v>18</v>
      </c>
    </row>
    <row r="46" spans="1:14" x14ac:dyDescent="0.3">
      <c r="A46">
        <v>45</v>
      </c>
      <c r="B46" t="s">
        <v>132</v>
      </c>
      <c r="C46" t="s">
        <v>66</v>
      </c>
      <c r="D46">
        <v>1.48</v>
      </c>
      <c r="E46" t="s">
        <v>133</v>
      </c>
      <c r="F46">
        <v>166</v>
      </c>
      <c r="G46">
        <v>2021</v>
      </c>
      <c r="H46" t="s">
        <v>29</v>
      </c>
      <c r="I46" t="b">
        <v>0</v>
      </c>
      <c r="J46">
        <v>0.56000000000000005</v>
      </c>
      <c r="K46">
        <v>0.9</v>
      </c>
      <c r="L46">
        <v>0.65</v>
      </c>
      <c r="M46">
        <v>0</v>
      </c>
      <c r="N46" t="s">
        <v>18</v>
      </c>
    </row>
    <row r="47" spans="1:14" x14ac:dyDescent="0.3">
      <c r="A47">
        <v>46</v>
      </c>
      <c r="B47" t="s">
        <v>134</v>
      </c>
      <c r="C47" t="s">
        <v>135</v>
      </c>
      <c r="D47">
        <v>2.76</v>
      </c>
      <c r="E47" t="s">
        <v>136</v>
      </c>
      <c r="F47">
        <v>150</v>
      </c>
      <c r="G47">
        <v>1994</v>
      </c>
      <c r="H47" t="s">
        <v>29</v>
      </c>
      <c r="I47" t="b">
        <v>0</v>
      </c>
      <c r="J47">
        <v>0.42</v>
      </c>
      <c r="K47">
        <v>0.66</v>
      </c>
      <c r="L47">
        <v>0.78</v>
      </c>
      <c r="M47">
        <v>0.32</v>
      </c>
      <c r="N47" t="s">
        <v>18</v>
      </c>
    </row>
    <row r="48" spans="1:14" x14ac:dyDescent="0.3">
      <c r="A48">
        <v>47</v>
      </c>
      <c r="B48" t="s">
        <v>137</v>
      </c>
      <c r="C48" t="s">
        <v>138</v>
      </c>
      <c r="D48">
        <v>2.62</v>
      </c>
      <c r="E48" t="s">
        <v>16</v>
      </c>
      <c r="F48">
        <v>186</v>
      </c>
      <c r="G48">
        <v>2016</v>
      </c>
      <c r="H48" t="s">
        <v>17</v>
      </c>
      <c r="I48" t="b">
        <v>1</v>
      </c>
      <c r="J48">
        <v>0.68</v>
      </c>
      <c r="K48">
        <v>0.79</v>
      </c>
      <c r="L48">
        <v>0.5</v>
      </c>
      <c r="M48">
        <v>0</v>
      </c>
      <c r="N48" t="s">
        <v>18</v>
      </c>
    </row>
    <row r="49" spans="1:14" x14ac:dyDescent="0.3">
      <c r="A49">
        <v>48</v>
      </c>
      <c r="B49" t="s">
        <v>139</v>
      </c>
      <c r="C49" t="s">
        <v>140</v>
      </c>
      <c r="D49">
        <v>2.59</v>
      </c>
      <c r="E49" t="s">
        <v>41</v>
      </c>
      <c r="F49">
        <v>130</v>
      </c>
      <c r="G49">
        <v>2016</v>
      </c>
      <c r="H49" t="s">
        <v>29</v>
      </c>
      <c r="I49" t="b">
        <v>1</v>
      </c>
      <c r="J49">
        <v>0.62</v>
      </c>
      <c r="K49">
        <v>0.68</v>
      </c>
      <c r="L49">
        <v>0.39</v>
      </c>
      <c r="M49">
        <v>0.06</v>
      </c>
      <c r="N49" t="s">
        <v>18</v>
      </c>
    </row>
    <row r="50" spans="1:14" x14ac:dyDescent="0.3">
      <c r="A50">
        <v>49</v>
      </c>
      <c r="B50" t="s">
        <v>141</v>
      </c>
      <c r="C50" t="s">
        <v>142</v>
      </c>
      <c r="D50">
        <v>2.56</v>
      </c>
      <c r="E50" t="s">
        <v>143</v>
      </c>
      <c r="F50">
        <v>140</v>
      </c>
      <c r="G50">
        <v>2019</v>
      </c>
      <c r="H50" t="s">
        <v>29</v>
      </c>
      <c r="I50" t="b">
        <v>1</v>
      </c>
      <c r="J50">
        <v>0.64</v>
      </c>
      <c r="K50">
        <v>0.61</v>
      </c>
      <c r="L50">
        <v>0.49</v>
      </c>
      <c r="M50">
        <v>0.02</v>
      </c>
      <c r="N50" t="s">
        <v>18</v>
      </c>
    </row>
    <row r="51" spans="1:14" x14ac:dyDescent="0.3">
      <c r="A51">
        <v>50</v>
      </c>
      <c r="B51" t="s">
        <v>144</v>
      </c>
      <c r="C51" t="s">
        <v>145</v>
      </c>
      <c r="D51">
        <v>1.84</v>
      </c>
      <c r="E51" t="s">
        <v>25</v>
      </c>
      <c r="F51">
        <v>120</v>
      </c>
      <c r="G51">
        <v>2024</v>
      </c>
      <c r="H51" t="s">
        <v>29</v>
      </c>
      <c r="I51" t="b">
        <v>0</v>
      </c>
      <c r="J51">
        <v>0.72</v>
      </c>
      <c r="K51">
        <v>0.68</v>
      </c>
      <c r="L51">
        <v>0.55000000000000004</v>
      </c>
      <c r="M51">
        <v>0.18</v>
      </c>
      <c r="N51" t="s">
        <v>18</v>
      </c>
    </row>
    <row r="52" spans="1:14" x14ac:dyDescent="0.3">
      <c r="A52">
        <v>51</v>
      </c>
      <c r="B52" t="s">
        <v>146</v>
      </c>
      <c r="C52" t="s">
        <v>147</v>
      </c>
      <c r="D52">
        <v>1.6</v>
      </c>
      <c r="E52" t="s">
        <v>148</v>
      </c>
      <c r="F52">
        <v>90</v>
      </c>
      <c r="G52">
        <v>2021</v>
      </c>
      <c r="H52" t="s">
        <v>17</v>
      </c>
      <c r="I52" t="b">
        <v>0</v>
      </c>
      <c r="J52">
        <v>0.68</v>
      </c>
      <c r="K52">
        <v>0.52</v>
      </c>
      <c r="L52">
        <v>0.69</v>
      </c>
      <c r="M52">
        <v>0.16</v>
      </c>
      <c r="N52" t="s">
        <v>18</v>
      </c>
    </row>
    <row r="53" spans="1:14" x14ac:dyDescent="0.3">
      <c r="A53">
        <v>52</v>
      </c>
      <c r="B53" t="s">
        <v>149</v>
      </c>
      <c r="C53" t="s">
        <v>53</v>
      </c>
      <c r="D53">
        <v>2.4</v>
      </c>
      <c r="E53" t="s">
        <v>84</v>
      </c>
      <c r="F53">
        <v>88</v>
      </c>
      <c r="G53">
        <v>2019</v>
      </c>
      <c r="H53" t="s">
        <v>22</v>
      </c>
      <c r="I53" t="b">
        <v>0</v>
      </c>
      <c r="J53">
        <v>0.43</v>
      </c>
      <c r="K53">
        <v>0.43</v>
      </c>
      <c r="L53">
        <v>7.0000000000000007E-2</v>
      </c>
      <c r="M53">
        <v>0.38</v>
      </c>
      <c r="N53" t="s">
        <v>18</v>
      </c>
    </row>
    <row r="54" spans="1:14" x14ac:dyDescent="0.3">
      <c r="A54">
        <v>53</v>
      </c>
      <c r="B54" t="s">
        <v>150</v>
      </c>
      <c r="C54" t="s">
        <v>37</v>
      </c>
      <c r="D54">
        <v>3.49</v>
      </c>
      <c r="E54" t="s">
        <v>38</v>
      </c>
      <c r="F54">
        <v>168</v>
      </c>
      <c r="G54">
        <v>2017</v>
      </c>
      <c r="H54" t="s">
        <v>29</v>
      </c>
      <c r="I54" t="b">
        <v>0</v>
      </c>
      <c r="J54">
        <v>0.6</v>
      </c>
      <c r="K54">
        <v>0.52</v>
      </c>
      <c r="L54">
        <v>0.55000000000000004</v>
      </c>
      <c r="M54">
        <v>0.01</v>
      </c>
      <c r="N54" t="s">
        <v>18</v>
      </c>
    </row>
    <row r="55" spans="1:14" x14ac:dyDescent="0.3">
      <c r="A55">
        <v>54</v>
      </c>
      <c r="B55" t="s">
        <v>151</v>
      </c>
      <c r="C55" t="s">
        <v>20</v>
      </c>
      <c r="D55">
        <v>1.62</v>
      </c>
      <c r="E55" t="s">
        <v>16</v>
      </c>
      <c r="F55">
        <v>126</v>
      </c>
      <c r="G55">
        <v>2021</v>
      </c>
      <c r="H55" t="s">
        <v>22</v>
      </c>
      <c r="I55" t="b">
        <v>0</v>
      </c>
      <c r="J55">
        <v>0.68</v>
      </c>
      <c r="K55">
        <v>0.83</v>
      </c>
      <c r="L55">
        <v>0.72</v>
      </c>
      <c r="M55">
        <v>0</v>
      </c>
      <c r="N55" t="s">
        <v>18</v>
      </c>
    </row>
    <row r="56" spans="1:14" x14ac:dyDescent="0.3">
      <c r="A56">
        <v>55</v>
      </c>
      <c r="B56" t="s">
        <v>152</v>
      </c>
      <c r="C56" t="s">
        <v>77</v>
      </c>
      <c r="D56">
        <v>1.6</v>
      </c>
      <c r="E56" t="s">
        <v>102</v>
      </c>
      <c r="F56">
        <v>110</v>
      </c>
      <c r="G56">
        <v>2021</v>
      </c>
      <c r="H56" t="s">
        <v>79</v>
      </c>
      <c r="I56" t="b">
        <v>0</v>
      </c>
      <c r="J56">
        <v>0.79</v>
      </c>
      <c r="K56">
        <v>0.73</v>
      </c>
      <c r="L56">
        <v>0.74</v>
      </c>
      <c r="M56">
        <v>0.01</v>
      </c>
      <c r="N56" t="s">
        <v>18</v>
      </c>
    </row>
    <row r="57" spans="1:14" x14ac:dyDescent="0.3">
      <c r="A57">
        <v>56</v>
      </c>
      <c r="B57" t="s">
        <v>153</v>
      </c>
      <c r="C57" t="s">
        <v>154</v>
      </c>
      <c r="D57">
        <v>2.34</v>
      </c>
      <c r="E57" t="s">
        <v>25</v>
      </c>
      <c r="F57">
        <v>82</v>
      </c>
      <c r="G57">
        <v>2014</v>
      </c>
      <c r="H57" t="s">
        <v>22</v>
      </c>
      <c r="I57" t="b">
        <v>0</v>
      </c>
      <c r="J57">
        <v>0.56000000000000005</v>
      </c>
      <c r="K57">
        <v>0.54</v>
      </c>
      <c r="L57">
        <v>0.72</v>
      </c>
      <c r="M57">
        <v>0.3</v>
      </c>
      <c r="N57" t="s">
        <v>18</v>
      </c>
    </row>
    <row r="58" spans="1:14" x14ac:dyDescent="0.3">
      <c r="A58">
        <v>57</v>
      </c>
      <c r="B58" t="s">
        <v>155</v>
      </c>
      <c r="C58" t="s">
        <v>156</v>
      </c>
      <c r="D58">
        <v>2.3199999999999998</v>
      </c>
      <c r="E58" t="s">
        <v>84</v>
      </c>
      <c r="F58">
        <v>191</v>
      </c>
      <c r="G58">
        <v>2018</v>
      </c>
      <c r="H58" t="s">
        <v>29</v>
      </c>
      <c r="I58" t="b">
        <v>0</v>
      </c>
      <c r="J58">
        <v>0.66</v>
      </c>
      <c r="K58">
        <v>0.83</v>
      </c>
      <c r="L58">
        <v>0.84</v>
      </c>
      <c r="M58">
        <v>0.04</v>
      </c>
      <c r="N58" t="s">
        <v>18</v>
      </c>
    </row>
    <row r="59" spans="1:14" x14ac:dyDescent="0.3">
      <c r="A59">
        <v>58</v>
      </c>
      <c r="B59" t="s">
        <v>157</v>
      </c>
      <c r="C59" t="s">
        <v>158</v>
      </c>
      <c r="D59">
        <v>2.5</v>
      </c>
      <c r="E59" t="s">
        <v>159</v>
      </c>
      <c r="F59">
        <v>131</v>
      </c>
      <c r="G59">
        <v>2013</v>
      </c>
      <c r="H59" t="s">
        <v>35</v>
      </c>
      <c r="I59" t="b">
        <v>0</v>
      </c>
      <c r="J59">
        <v>0.66</v>
      </c>
      <c r="K59">
        <v>0.55000000000000004</v>
      </c>
      <c r="L59">
        <v>0.82</v>
      </c>
      <c r="M59">
        <v>0.5</v>
      </c>
      <c r="N59" t="s">
        <v>18</v>
      </c>
    </row>
    <row r="60" spans="1:14" x14ac:dyDescent="0.3">
      <c r="A60">
        <v>59</v>
      </c>
      <c r="B60" t="s">
        <v>160</v>
      </c>
      <c r="C60" t="s">
        <v>161</v>
      </c>
      <c r="D60">
        <v>2.29</v>
      </c>
      <c r="E60" t="s">
        <v>162</v>
      </c>
      <c r="F60">
        <v>78</v>
      </c>
      <c r="G60">
        <v>2016</v>
      </c>
      <c r="H60" t="s">
        <v>163</v>
      </c>
      <c r="I60" t="b">
        <v>0</v>
      </c>
      <c r="J60">
        <v>0.46</v>
      </c>
      <c r="K60">
        <v>0.48</v>
      </c>
      <c r="L60">
        <v>0.28000000000000003</v>
      </c>
      <c r="M60">
        <v>0.26</v>
      </c>
      <c r="N60" t="s">
        <v>18</v>
      </c>
    </row>
    <row r="61" spans="1:14" x14ac:dyDescent="0.3">
      <c r="A61">
        <v>60</v>
      </c>
      <c r="B61" t="s">
        <v>164</v>
      </c>
      <c r="C61" t="s">
        <v>165</v>
      </c>
      <c r="D61">
        <v>2.2599999999999998</v>
      </c>
      <c r="E61" t="s">
        <v>54</v>
      </c>
      <c r="F61">
        <v>86</v>
      </c>
      <c r="G61">
        <v>2020</v>
      </c>
      <c r="H61" t="s">
        <v>29</v>
      </c>
      <c r="I61" t="b">
        <v>0</v>
      </c>
      <c r="J61">
        <v>0.44</v>
      </c>
      <c r="K61">
        <v>0.3</v>
      </c>
      <c r="L61">
        <v>0.3</v>
      </c>
      <c r="M61">
        <v>0.54</v>
      </c>
      <c r="N61" t="s">
        <v>18</v>
      </c>
    </row>
    <row r="62" spans="1:14" x14ac:dyDescent="0.3">
      <c r="A62">
        <v>61</v>
      </c>
      <c r="B62" t="s">
        <v>166</v>
      </c>
      <c r="C62" t="s">
        <v>167</v>
      </c>
      <c r="D62">
        <v>2.2000000000000002</v>
      </c>
      <c r="E62" t="s">
        <v>133</v>
      </c>
      <c r="F62">
        <v>150</v>
      </c>
      <c r="G62">
        <v>2020</v>
      </c>
      <c r="H62" t="s">
        <v>29</v>
      </c>
      <c r="I62" t="b">
        <v>1</v>
      </c>
      <c r="J62">
        <v>0.7</v>
      </c>
      <c r="K62">
        <v>0.75</v>
      </c>
      <c r="L62">
        <v>0.6</v>
      </c>
      <c r="M62">
        <v>0.02</v>
      </c>
      <c r="N62" t="s">
        <v>18</v>
      </c>
    </row>
    <row r="63" spans="1:14" x14ac:dyDescent="0.3">
      <c r="A63">
        <v>62</v>
      </c>
      <c r="B63" t="s">
        <v>168</v>
      </c>
      <c r="C63" t="s">
        <v>20</v>
      </c>
      <c r="D63">
        <v>3.45</v>
      </c>
      <c r="E63" t="s">
        <v>169</v>
      </c>
      <c r="F63">
        <v>96</v>
      </c>
      <c r="G63">
        <v>2014</v>
      </c>
      <c r="H63" t="s">
        <v>22</v>
      </c>
      <c r="I63" t="b">
        <v>0</v>
      </c>
      <c r="J63">
        <v>0.6</v>
      </c>
      <c r="K63">
        <v>0.56000000000000005</v>
      </c>
      <c r="L63">
        <v>0.52</v>
      </c>
      <c r="M63">
        <v>0.31</v>
      </c>
      <c r="N63" t="s">
        <v>18</v>
      </c>
    </row>
    <row r="64" spans="1:14" x14ac:dyDescent="0.3">
      <c r="A64">
        <v>63</v>
      </c>
      <c r="B64" t="s">
        <v>170</v>
      </c>
      <c r="C64" t="s">
        <v>147</v>
      </c>
      <c r="D64">
        <v>2.93</v>
      </c>
      <c r="E64" t="s">
        <v>171</v>
      </c>
      <c r="F64">
        <v>102</v>
      </c>
      <c r="G64">
        <v>2015</v>
      </c>
      <c r="H64" t="s">
        <v>17</v>
      </c>
      <c r="I64" t="b">
        <v>0</v>
      </c>
      <c r="J64">
        <v>0.62</v>
      </c>
      <c r="K64">
        <v>0.38</v>
      </c>
      <c r="L64">
        <v>0.55000000000000004</v>
      </c>
      <c r="M64">
        <v>0.46</v>
      </c>
      <c r="N64" t="s">
        <v>18</v>
      </c>
    </row>
    <row r="65" spans="1:14" x14ac:dyDescent="0.3">
      <c r="A65">
        <v>64</v>
      </c>
      <c r="B65" t="s">
        <v>172</v>
      </c>
      <c r="C65" t="s">
        <v>173</v>
      </c>
      <c r="D65">
        <v>2.82</v>
      </c>
      <c r="E65" t="s">
        <v>25</v>
      </c>
      <c r="F65">
        <v>130</v>
      </c>
      <c r="G65">
        <v>2018</v>
      </c>
      <c r="H65" t="s">
        <v>29</v>
      </c>
      <c r="I65" t="b">
        <v>0</v>
      </c>
      <c r="J65">
        <v>0.57999999999999996</v>
      </c>
      <c r="K65">
        <v>0.69</v>
      </c>
      <c r="L65">
        <v>0.3</v>
      </c>
      <c r="M65">
        <v>0.05</v>
      </c>
      <c r="N65" t="s">
        <v>18</v>
      </c>
    </row>
    <row r="66" spans="1:14" x14ac:dyDescent="0.3">
      <c r="A66">
        <v>65</v>
      </c>
      <c r="B66" t="s">
        <v>174</v>
      </c>
      <c r="C66" t="s">
        <v>175</v>
      </c>
      <c r="D66">
        <v>2.9</v>
      </c>
      <c r="E66" t="s">
        <v>46</v>
      </c>
      <c r="F66">
        <v>103</v>
      </c>
      <c r="G66">
        <v>2017</v>
      </c>
      <c r="H66" t="s">
        <v>47</v>
      </c>
      <c r="I66" t="b">
        <v>0</v>
      </c>
      <c r="J66">
        <v>0.62</v>
      </c>
      <c r="K66">
        <v>0.73</v>
      </c>
      <c r="L66">
        <v>0.53</v>
      </c>
      <c r="M66">
        <v>0.06</v>
      </c>
      <c r="N66" t="s">
        <v>18</v>
      </c>
    </row>
    <row r="67" spans="1:14" x14ac:dyDescent="0.3">
      <c r="A67">
        <v>66</v>
      </c>
      <c r="B67" t="s">
        <v>176</v>
      </c>
      <c r="C67" t="s">
        <v>142</v>
      </c>
      <c r="D67">
        <v>2.65</v>
      </c>
      <c r="E67" t="s">
        <v>148</v>
      </c>
      <c r="F67">
        <v>144</v>
      </c>
      <c r="G67">
        <v>2020</v>
      </c>
      <c r="H67" t="s">
        <v>29</v>
      </c>
      <c r="I67" t="b">
        <v>0</v>
      </c>
      <c r="J67">
        <v>0.74</v>
      </c>
      <c r="K67">
        <v>0.66</v>
      </c>
      <c r="L67">
        <v>0.69</v>
      </c>
      <c r="M67">
        <v>0.04</v>
      </c>
      <c r="N67" t="s">
        <v>18</v>
      </c>
    </row>
    <row r="68" spans="1:14" x14ac:dyDescent="0.3">
      <c r="A68">
        <v>67</v>
      </c>
      <c r="B68" t="s">
        <v>177</v>
      </c>
      <c r="C68" t="s">
        <v>178</v>
      </c>
      <c r="D68">
        <v>3.42</v>
      </c>
      <c r="E68" t="s">
        <v>41</v>
      </c>
      <c r="F68">
        <v>98</v>
      </c>
      <c r="G68">
        <v>2016</v>
      </c>
      <c r="H68" t="s">
        <v>29</v>
      </c>
      <c r="I68" t="b">
        <v>0</v>
      </c>
      <c r="J68">
        <v>0.72</v>
      </c>
      <c r="K68">
        <v>0.62</v>
      </c>
      <c r="L68">
        <v>0.44</v>
      </c>
      <c r="M68">
        <v>0.06</v>
      </c>
      <c r="N68" t="s">
        <v>18</v>
      </c>
    </row>
    <row r="69" spans="1:14" x14ac:dyDescent="0.3">
      <c r="A69">
        <v>68</v>
      </c>
      <c r="B69" t="s">
        <v>179</v>
      </c>
      <c r="C69" t="s">
        <v>20</v>
      </c>
      <c r="D69">
        <v>2.1</v>
      </c>
      <c r="E69" t="s">
        <v>180</v>
      </c>
      <c r="F69">
        <v>79</v>
      </c>
      <c r="G69">
        <v>2014</v>
      </c>
      <c r="H69" t="s">
        <v>22</v>
      </c>
      <c r="I69" t="b">
        <v>0</v>
      </c>
      <c r="J69">
        <v>0.78</v>
      </c>
      <c r="K69">
        <v>0.44</v>
      </c>
      <c r="L69">
        <v>0.46</v>
      </c>
      <c r="M69">
        <v>0.3</v>
      </c>
      <c r="N69" t="s">
        <v>18</v>
      </c>
    </row>
    <row r="70" spans="1:14" x14ac:dyDescent="0.3">
      <c r="A70">
        <v>69</v>
      </c>
      <c r="B70" t="s">
        <v>181</v>
      </c>
      <c r="C70" t="s">
        <v>81</v>
      </c>
      <c r="D70">
        <v>2.08</v>
      </c>
      <c r="E70" t="s">
        <v>84</v>
      </c>
      <c r="F70">
        <v>72</v>
      </c>
      <c r="G70">
        <v>2013</v>
      </c>
      <c r="H70" t="s">
        <v>29</v>
      </c>
      <c r="I70" t="b">
        <v>0</v>
      </c>
      <c r="J70">
        <v>0.36</v>
      </c>
      <c r="K70">
        <v>0.53</v>
      </c>
      <c r="L70">
        <v>0.24</v>
      </c>
      <c r="M70">
        <v>0.24</v>
      </c>
      <c r="N70" t="s">
        <v>18</v>
      </c>
    </row>
    <row r="71" spans="1:14" x14ac:dyDescent="0.3">
      <c r="A71">
        <v>70</v>
      </c>
      <c r="B71" t="s">
        <v>182</v>
      </c>
      <c r="C71" t="s">
        <v>183</v>
      </c>
      <c r="D71">
        <v>2.68</v>
      </c>
      <c r="E71" t="s">
        <v>54</v>
      </c>
      <c r="F71">
        <v>98</v>
      </c>
      <c r="G71">
        <v>2022</v>
      </c>
      <c r="H71" t="s">
        <v>29</v>
      </c>
      <c r="I71" t="b">
        <v>0</v>
      </c>
      <c r="J71">
        <v>0.59</v>
      </c>
      <c r="K71">
        <v>0.55000000000000004</v>
      </c>
      <c r="L71">
        <v>0.86</v>
      </c>
      <c r="M71">
        <v>0.28000000000000003</v>
      </c>
      <c r="N71" t="s">
        <v>18</v>
      </c>
    </row>
    <row r="72" spans="1:14" x14ac:dyDescent="0.3">
      <c r="A72">
        <v>71</v>
      </c>
      <c r="B72" t="s">
        <v>184</v>
      </c>
      <c r="C72" t="s">
        <v>185</v>
      </c>
      <c r="D72">
        <v>2.96</v>
      </c>
      <c r="E72" t="s">
        <v>25</v>
      </c>
      <c r="F72">
        <v>84</v>
      </c>
      <c r="G72">
        <v>2016</v>
      </c>
      <c r="H72" t="s">
        <v>35</v>
      </c>
      <c r="I72" t="b">
        <v>0</v>
      </c>
      <c r="J72">
        <v>0.64</v>
      </c>
      <c r="K72">
        <v>0.44</v>
      </c>
      <c r="L72">
        <v>0.55000000000000004</v>
      </c>
      <c r="M72">
        <v>0.18</v>
      </c>
      <c r="N72" t="s">
        <v>18</v>
      </c>
    </row>
    <row r="73" spans="1:14" x14ac:dyDescent="0.3">
      <c r="A73">
        <v>72</v>
      </c>
      <c r="B73" t="s">
        <v>186</v>
      </c>
      <c r="C73" t="s">
        <v>187</v>
      </c>
      <c r="D73">
        <v>1.99</v>
      </c>
      <c r="E73" t="s">
        <v>133</v>
      </c>
      <c r="F73">
        <v>144</v>
      </c>
      <c r="G73">
        <v>2021</v>
      </c>
      <c r="H73" t="s">
        <v>29</v>
      </c>
      <c r="I73" t="b">
        <v>1</v>
      </c>
      <c r="J73">
        <v>0.57999999999999996</v>
      </c>
      <c r="K73">
        <v>0.85</v>
      </c>
      <c r="L73">
        <v>0.68</v>
      </c>
      <c r="M73">
        <v>0.02</v>
      </c>
      <c r="N73" t="s">
        <v>18</v>
      </c>
    </row>
    <row r="74" spans="1:14" x14ac:dyDescent="0.3">
      <c r="A74">
        <v>73</v>
      </c>
      <c r="B74" t="s">
        <v>188</v>
      </c>
      <c r="C74" t="s">
        <v>189</v>
      </c>
      <c r="D74">
        <v>1.64</v>
      </c>
      <c r="E74" t="s">
        <v>54</v>
      </c>
      <c r="F74">
        <v>138</v>
      </c>
      <c r="G74">
        <v>2021</v>
      </c>
      <c r="H74" t="s">
        <v>29</v>
      </c>
      <c r="I74" t="b">
        <v>0</v>
      </c>
      <c r="J74">
        <v>0.76</v>
      </c>
      <c r="K74">
        <v>0.8</v>
      </c>
      <c r="L74">
        <v>0.96</v>
      </c>
      <c r="M74">
        <v>0.06</v>
      </c>
      <c r="N74" t="s">
        <v>18</v>
      </c>
    </row>
    <row r="75" spans="1:14" x14ac:dyDescent="0.3">
      <c r="A75">
        <v>74</v>
      </c>
      <c r="B75" t="s">
        <v>190</v>
      </c>
      <c r="C75" t="s">
        <v>191</v>
      </c>
      <c r="D75">
        <v>1.4</v>
      </c>
      <c r="E75" t="s">
        <v>84</v>
      </c>
      <c r="F75">
        <v>97</v>
      </c>
      <c r="G75">
        <v>2024</v>
      </c>
      <c r="H75" t="s">
        <v>29</v>
      </c>
      <c r="I75" t="b">
        <v>0</v>
      </c>
      <c r="J75">
        <v>0.46</v>
      </c>
      <c r="K75">
        <v>0.68</v>
      </c>
      <c r="L75">
        <v>0.46</v>
      </c>
      <c r="M75">
        <v>7.0000000000000007E-2</v>
      </c>
      <c r="N75" t="s">
        <v>18</v>
      </c>
    </row>
    <row r="76" spans="1:14" x14ac:dyDescent="0.3">
      <c r="A76">
        <v>75</v>
      </c>
      <c r="B76" t="s">
        <v>192</v>
      </c>
      <c r="C76" t="s">
        <v>193</v>
      </c>
      <c r="D76">
        <v>2.7</v>
      </c>
      <c r="E76" t="s">
        <v>25</v>
      </c>
      <c r="F76">
        <v>97</v>
      </c>
      <c r="G76">
        <v>2022</v>
      </c>
      <c r="H76" t="s">
        <v>29</v>
      </c>
      <c r="I76" t="b">
        <v>0</v>
      </c>
      <c r="J76">
        <v>0.62</v>
      </c>
      <c r="K76">
        <v>0.62</v>
      </c>
      <c r="L76">
        <v>0.44</v>
      </c>
      <c r="M76">
        <v>0.14000000000000001</v>
      </c>
      <c r="N76" t="s">
        <v>18</v>
      </c>
    </row>
    <row r="77" spans="1:14" x14ac:dyDescent="0.3">
      <c r="A77">
        <v>76</v>
      </c>
      <c r="B77" t="s">
        <v>194</v>
      </c>
      <c r="C77" t="s">
        <v>195</v>
      </c>
      <c r="D77">
        <v>1.86</v>
      </c>
      <c r="E77" t="s">
        <v>25</v>
      </c>
      <c r="F77">
        <v>107</v>
      </c>
      <c r="G77">
        <v>2020</v>
      </c>
      <c r="H77" t="s">
        <v>196</v>
      </c>
      <c r="I77" t="b">
        <v>0</v>
      </c>
      <c r="J77">
        <v>0.76</v>
      </c>
      <c r="K77">
        <v>0.69</v>
      </c>
      <c r="L77">
        <v>0.65</v>
      </c>
      <c r="M77">
        <v>0.01</v>
      </c>
      <c r="N77" t="s">
        <v>18</v>
      </c>
    </row>
    <row r="78" spans="1:14" x14ac:dyDescent="0.3">
      <c r="A78">
        <v>77</v>
      </c>
      <c r="B78" t="s">
        <v>197</v>
      </c>
      <c r="C78" t="s">
        <v>198</v>
      </c>
      <c r="D78">
        <v>1.66</v>
      </c>
      <c r="E78" t="s">
        <v>199</v>
      </c>
      <c r="F78">
        <v>145</v>
      </c>
      <c r="G78">
        <v>2024</v>
      </c>
      <c r="H78" t="s">
        <v>79</v>
      </c>
      <c r="I78" t="b">
        <v>0</v>
      </c>
      <c r="J78">
        <v>0.86</v>
      </c>
      <c r="K78">
        <v>0.79</v>
      </c>
      <c r="L78">
        <v>0.88</v>
      </c>
      <c r="M78">
        <v>0.05</v>
      </c>
      <c r="N78" t="s">
        <v>18</v>
      </c>
    </row>
    <row r="79" spans="1:14" x14ac:dyDescent="0.3">
      <c r="A79">
        <v>78</v>
      </c>
      <c r="B79" t="s">
        <v>200</v>
      </c>
      <c r="C79" t="s">
        <v>201</v>
      </c>
      <c r="D79">
        <v>1.78</v>
      </c>
      <c r="E79" t="s">
        <v>38</v>
      </c>
      <c r="F79">
        <v>64</v>
      </c>
      <c r="G79">
        <v>2006</v>
      </c>
      <c r="H79" t="s">
        <v>29</v>
      </c>
      <c r="I79" t="b">
        <v>0</v>
      </c>
      <c r="J79">
        <v>0.31</v>
      </c>
      <c r="K79">
        <v>0.85</v>
      </c>
      <c r="L79">
        <v>0.12</v>
      </c>
      <c r="M79">
        <v>0</v>
      </c>
      <c r="N79" t="s">
        <v>18</v>
      </c>
    </row>
    <row r="80" spans="1:14" x14ac:dyDescent="0.3">
      <c r="A80">
        <v>79</v>
      </c>
      <c r="B80" t="s">
        <v>202</v>
      </c>
      <c r="C80" t="s">
        <v>203</v>
      </c>
      <c r="D80">
        <v>1.72</v>
      </c>
      <c r="E80" t="s">
        <v>38</v>
      </c>
      <c r="F80">
        <v>77</v>
      </c>
      <c r="G80">
        <v>1998</v>
      </c>
      <c r="H80" t="s">
        <v>29</v>
      </c>
      <c r="I80" t="b">
        <v>0</v>
      </c>
      <c r="J80">
        <v>0.33</v>
      </c>
      <c r="K80">
        <v>0.28000000000000003</v>
      </c>
      <c r="L80">
        <v>0.14000000000000001</v>
      </c>
      <c r="M80">
        <v>0.57999999999999996</v>
      </c>
      <c r="N80" t="s">
        <v>18</v>
      </c>
    </row>
    <row r="81" spans="1:14" x14ac:dyDescent="0.3">
      <c r="A81">
        <v>80</v>
      </c>
      <c r="B81" t="s">
        <v>204</v>
      </c>
      <c r="C81" t="s">
        <v>205</v>
      </c>
      <c r="D81">
        <v>1.7</v>
      </c>
      <c r="E81" t="s">
        <v>41</v>
      </c>
      <c r="F81">
        <v>145</v>
      </c>
      <c r="G81">
        <v>2019</v>
      </c>
      <c r="H81" t="s">
        <v>35</v>
      </c>
      <c r="I81" t="b">
        <v>0</v>
      </c>
      <c r="J81">
        <v>0.72</v>
      </c>
      <c r="K81">
        <v>0.79</v>
      </c>
      <c r="L81">
        <v>0.38</v>
      </c>
      <c r="M81">
        <v>0.04</v>
      </c>
      <c r="N81" t="s">
        <v>18</v>
      </c>
    </row>
    <row r="82" spans="1:14" x14ac:dyDescent="0.3">
      <c r="A82">
        <v>81</v>
      </c>
      <c r="B82" t="s">
        <v>206</v>
      </c>
      <c r="C82" t="s">
        <v>207</v>
      </c>
      <c r="D82">
        <v>1.68</v>
      </c>
      <c r="E82" t="s">
        <v>208</v>
      </c>
      <c r="F82">
        <v>106</v>
      </c>
      <c r="G82">
        <v>2024</v>
      </c>
      <c r="H82" t="s">
        <v>29</v>
      </c>
      <c r="I82" t="b">
        <v>0</v>
      </c>
      <c r="J82">
        <v>0.72</v>
      </c>
      <c r="K82">
        <v>0.65</v>
      </c>
      <c r="L82">
        <v>0.72</v>
      </c>
      <c r="M82">
        <v>0.14000000000000001</v>
      </c>
      <c r="N82" t="s">
        <v>18</v>
      </c>
    </row>
    <row r="83" spans="1:14" x14ac:dyDescent="0.3">
      <c r="A83">
        <v>82</v>
      </c>
      <c r="B83" t="s">
        <v>209</v>
      </c>
      <c r="C83" t="s">
        <v>210</v>
      </c>
      <c r="D83">
        <v>1.65</v>
      </c>
      <c r="E83" t="s">
        <v>211</v>
      </c>
      <c r="F83">
        <v>90</v>
      </c>
      <c r="G83">
        <v>2023</v>
      </c>
      <c r="H83" t="s">
        <v>29</v>
      </c>
      <c r="I83" t="b">
        <v>0</v>
      </c>
      <c r="J83">
        <v>0.6</v>
      </c>
      <c r="K83">
        <v>0.55000000000000004</v>
      </c>
      <c r="L83">
        <v>0.64</v>
      </c>
      <c r="M83">
        <v>0.21</v>
      </c>
      <c r="N83" t="s">
        <v>18</v>
      </c>
    </row>
    <row r="84" spans="1:14" x14ac:dyDescent="0.3">
      <c r="A84">
        <v>83</v>
      </c>
      <c r="B84" t="s">
        <v>212</v>
      </c>
      <c r="C84" t="s">
        <v>213</v>
      </c>
      <c r="D84">
        <v>1.63</v>
      </c>
      <c r="E84" t="s">
        <v>159</v>
      </c>
      <c r="F84">
        <v>86</v>
      </c>
      <c r="G84">
        <v>2024</v>
      </c>
      <c r="H84" t="s">
        <v>214</v>
      </c>
      <c r="I84" t="b">
        <v>0</v>
      </c>
      <c r="J84">
        <v>0.62</v>
      </c>
      <c r="K84">
        <v>0.48</v>
      </c>
      <c r="L84">
        <v>0.68</v>
      </c>
      <c r="M84">
        <v>0.42</v>
      </c>
      <c r="N84" t="s">
        <v>18</v>
      </c>
    </row>
    <row r="85" spans="1:14" x14ac:dyDescent="0.3">
      <c r="A85">
        <v>84</v>
      </c>
      <c r="B85" t="s">
        <v>215</v>
      </c>
      <c r="C85" t="s">
        <v>53</v>
      </c>
      <c r="D85">
        <v>2.0499999999999998</v>
      </c>
      <c r="E85" t="s">
        <v>216</v>
      </c>
      <c r="F85">
        <v>90</v>
      </c>
      <c r="G85">
        <v>2017</v>
      </c>
      <c r="H85" t="s">
        <v>22</v>
      </c>
      <c r="I85" t="b">
        <v>0</v>
      </c>
      <c r="J85">
        <v>0.3</v>
      </c>
      <c r="K85">
        <v>0.53</v>
      </c>
      <c r="L85">
        <v>0.1</v>
      </c>
      <c r="M85">
        <v>0.2</v>
      </c>
      <c r="N85" t="s">
        <v>18</v>
      </c>
    </row>
    <row r="86" spans="1:14" x14ac:dyDescent="0.3">
      <c r="A86">
        <v>85</v>
      </c>
      <c r="B86" t="s">
        <v>217</v>
      </c>
      <c r="C86" t="s">
        <v>53</v>
      </c>
      <c r="D86">
        <v>1.9</v>
      </c>
      <c r="E86" t="s">
        <v>54</v>
      </c>
      <c r="F86">
        <v>108</v>
      </c>
      <c r="G86">
        <v>2019</v>
      </c>
      <c r="H86" t="s">
        <v>22</v>
      </c>
      <c r="I86" t="b">
        <v>0</v>
      </c>
      <c r="J86">
        <v>0.56000000000000005</v>
      </c>
      <c r="K86">
        <v>0.76</v>
      </c>
      <c r="L86">
        <v>0.66</v>
      </c>
      <c r="M86">
        <v>0.04</v>
      </c>
      <c r="N86" t="s">
        <v>18</v>
      </c>
    </row>
    <row r="87" spans="1:14" x14ac:dyDescent="0.3">
      <c r="A87">
        <v>86</v>
      </c>
      <c r="B87" t="s">
        <v>218</v>
      </c>
      <c r="C87" t="s">
        <v>219</v>
      </c>
      <c r="D87">
        <v>1.88</v>
      </c>
      <c r="E87" t="s">
        <v>54</v>
      </c>
      <c r="F87">
        <v>86</v>
      </c>
      <c r="G87">
        <v>2019</v>
      </c>
      <c r="H87" t="s">
        <v>220</v>
      </c>
      <c r="I87" t="b">
        <v>0</v>
      </c>
      <c r="J87">
        <v>0.34</v>
      </c>
      <c r="K87">
        <v>0.3</v>
      </c>
      <c r="L87">
        <v>0.1</v>
      </c>
      <c r="M87">
        <v>0.52</v>
      </c>
      <c r="N87" t="s">
        <v>18</v>
      </c>
    </row>
    <row r="88" spans="1:14" x14ac:dyDescent="0.3">
      <c r="A88">
        <v>87</v>
      </c>
      <c r="B88" t="s">
        <v>221</v>
      </c>
      <c r="C88" t="s">
        <v>222</v>
      </c>
      <c r="D88">
        <v>1.42</v>
      </c>
      <c r="E88" t="s">
        <v>28</v>
      </c>
      <c r="F88">
        <v>80</v>
      </c>
      <c r="G88">
        <v>2015</v>
      </c>
      <c r="H88" t="s">
        <v>29</v>
      </c>
      <c r="I88" t="b">
        <v>0</v>
      </c>
      <c r="J88">
        <v>0.53</v>
      </c>
      <c r="K88">
        <v>0.37</v>
      </c>
      <c r="L88">
        <v>0.48</v>
      </c>
      <c r="M88">
        <v>0.42</v>
      </c>
      <c r="N88" t="s">
        <v>18</v>
      </c>
    </row>
    <row r="89" spans="1:14" x14ac:dyDescent="0.3">
      <c r="A89">
        <v>88</v>
      </c>
      <c r="B89" t="s">
        <v>223</v>
      </c>
      <c r="C89" t="s">
        <v>224</v>
      </c>
      <c r="D89">
        <v>1.44</v>
      </c>
      <c r="E89" t="s">
        <v>25</v>
      </c>
      <c r="F89">
        <v>107</v>
      </c>
      <c r="G89">
        <v>2017</v>
      </c>
      <c r="H89" t="s">
        <v>29</v>
      </c>
      <c r="I89" t="b">
        <v>1</v>
      </c>
      <c r="J89">
        <v>0.78</v>
      </c>
      <c r="K89">
        <v>0.68</v>
      </c>
      <c r="L89">
        <v>0.6</v>
      </c>
      <c r="M89">
        <v>0.06</v>
      </c>
      <c r="N89" t="s">
        <v>18</v>
      </c>
    </row>
    <row r="90" spans="1:14" x14ac:dyDescent="0.3">
      <c r="A90">
        <v>89</v>
      </c>
      <c r="B90" t="s">
        <v>225</v>
      </c>
      <c r="C90" t="s">
        <v>191</v>
      </c>
      <c r="D90">
        <v>1.68</v>
      </c>
      <c r="E90" t="s">
        <v>25</v>
      </c>
      <c r="F90">
        <v>80</v>
      </c>
      <c r="G90">
        <v>2023</v>
      </c>
      <c r="H90" t="s">
        <v>29</v>
      </c>
      <c r="I90" t="b">
        <v>0</v>
      </c>
      <c r="J90">
        <v>0.51</v>
      </c>
      <c r="K90">
        <v>0.44</v>
      </c>
      <c r="L90">
        <v>0.42</v>
      </c>
      <c r="M90">
        <v>0.28000000000000003</v>
      </c>
      <c r="N90" t="s">
        <v>18</v>
      </c>
    </row>
    <row r="91" spans="1:14" x14ac:dyDescent="0.3">
      <c r="A91">
        <v>90</v>
      </c>
      <c r="B91" t="s">
        <v>226</v>
      </c>
      <c r="C91" t="s">
        <v>227</v>
      </c>
      <c r="D91">
        <v>2.23</v>
      </c>
      <c r="E91" t="s">
        <v>228</v>
      </c>
      <c r="F91">
        <v>115</v>
      </c>
      <c r="G91">
        <v>2021</v>
      </c>
      <c r="H91" t="s">
        <v>29</v>
      </c>
      <c r="I91" t="b">
        <v>0</v>
      </c>
      <c r="J91">
        <v>0.78</v>
      </c>
      <c r="K91">
        <v>0.66</v>
      </c>
      <c r="L91">
        <v>0.8</v>
      </c>
      <c r="M91">
        <v>0.02</v>
      </c>
      <c r="N91" t="s">
        <v>18</v>
      </c>
    </row>
    <row r="92" spans="1:14" x14ac:dyDescent="0.3">
      <c r="A92">
        <v>91</v>
      </c>
      <c r="B92" t="s">
        <v>229</v>
      </c>
      <c r="C92" t="s">
        <v>230</v>
      </c>
      <c r="D92">
        <v>1.6</v>
      </c>
      <c r="E92" t="s">
        <v>105</v>
      </c>
      <c r="F92">
        <v>139</v>
      </c>
      <c r="G92">
        <v>2022</v>
      </c>
      <c r="H92" t="s">
        <v>29</v>
      </c>
      <c r="I92" t="b">
        <v>0</v>
      </c>
      <c r="J92">
        <v>0.52</v>
      </c>
      <c r="K92">
        <v>0.64</v>
      </c>
      <c r="L92">
        <v>0.44</v>
      </c>
      <c r="M92">
        <v>0.1</v>
      </c>
      <c r="N92" t="s">
        <v>18</v>
      </c>
    </row>
    <row r="93" spans="1:14" x14ac:dyDescent="0.3">
      <c r="A93">
        <v>92</v>
      </c>
      <c r="B93" t="s">
        <v>231</v>
      </c>
      <c r="C93" t="s">
        <v>232</v>
      </c>
      <c r="D93">
        <v>1.54</v>
      </c>
      <c r="E93" t="s">
        <v>54</v>
      </c>
      <c r="F93">
        <v>104</v>
      </c>
      <c r="G93">
        <v>2013</v>
      </c>
      <c r="H93" t="s">
        <v>233</v>
      </c>
      <c r="I93" t="b">
        <v>0</v>
      </c>
      <c r="J93">
        <v>0.38</v>
      </c>
      <c r="K93">
        <v>0.44</v>
      </c>
      <c r="L93">
        <v>0.22</v>
      </c>
      <c r="M93">
        <v>0.3</v>
      </c>
      <c r="N93" t="s">
        <v>18</v>
      </c>
    </row>
    <row r="94" spans="1:14" x14ac:dyDescent="0.3">
      <c r="A94">
        <v>93</v>
      </c>
      <c r="B94" t="s">
        <v>234</v>
      </c>
      <c r="C94" t="s">
        <v>235</v>
      </c>
      <c r="D94">
        <v>1.46</v>
      </c>
      <c r="E94" t="s">
        <v>84</v>
      </c>
      <c r="F94">
        <v>139</v>
      </c>
      <c r="G94">
        <v>1996</v>
      </c>
      <c r="H94" t="s">
        <v>236</v>
      </c>
      <c r="I94" t="b">
        <v>0</v>
      </c>
      <c r="J94">
        <v>0.74</v>
      </c>
      <c r="K94">
        <v>0.76</v>
      </c>
      <c r="L94">
        <v>0.86</v>
      </c>
      <c r="M94">
        <v>0.38</v>
      </c>
      <c r="N94" t="s">
        <v>18</v>
      </c>
    </row>
    <row r="95" spans="1:14" x14ac:dyDescent="0.3">
      <c r="A95">
        <v>94</v>
      </c>
      <c r="B95" t="s">
        <v>237</v>
      </c>
      <c r="C95" t="s">
        <v>238</v>
      </c>
      <c r="D95">
        <v>1.62</v>
      </c>
      <c r="E95" t="s">
        <v>38</v>
      </c>
      <c r="F95">
        <v>154</v>
      </c>
      <c r="G95">
        <v>2001</v>
      </c>
      <c r="H95" t="s">
        <v>22</v>
      </c>
      <c r="I95" t="b">
        <v>0</v>
      </c>
      <c r="J95">
        <v>0.44</v>
      </c>
      <c r="K95">
        <v>0.82</v>
      </c>
      <c r="L95">
        <v>0.44</v>
      </c>
      <c r="M95">
        <v>0.04</v>
      </c>
      <c r="N95" t="s">
        <v>18</v>
      </c>
    </row>
    <row r="96" spans="1:14" x14ac:dyDescent="0.3">
      <c r="A96">
        <v>95</v>
      </c>
      <c r="B96" t="s">
        <v>239</v>
      </c>
      <c r="C96" t="s">
        <v>240</v>
      </c>
      <c r="D96">
        <v>1.58</v>
      </c>
      <c r="E96" t="s">
        <v>25</v>
      </c>
      <c r="F96">
        <v>90</v>
      </c>
      <c r="G96">
        <v>2023</v>
      </c>
      <c r="H96" t="s">
        <v>220</v>
      </c>
      <c r="I96" t="b">
        <v>0</v>
      </c>
      <c r="J96">
        <v>0.66</v>
      </c>
      <c r="K96">
        <v>0.54</v>
      </c>
      <c r="L96">
        <v>0.76</v>
      </c>
      <c r="M96">
        <v>0.22</v>
      </c>
      <c r="N96" t="s">
        <v>18</v>
      </c>
    </row>
    <row r="97" spans="1:14" x14ac:dyDescent="0.3">
      <c r="A97">
        <v>96</v>
      </c>
      <c r="B97" t="s">
        <v>241</v>
      </c>
      <c r="C97" t="s">
        <v>242</v>
      </c>
      <c r="D97">
        <v>1.92</v>
      </c>
      <c r="E97" t="s">
        <v>46</v>
      </c>
      <c r="F97">
        <v>143</v>
      </c>
      <c r="G97">
        <v>2018</v>
      </c>
      <c r="H97" t="s">
        <v>22</v>
      </c>
      <c r="I97" t="b">
        <v>0</v>
      </c>
      <c r="J97">
        <v>0.76</v>
      </c>
      <c r="K97">
        <v>0.88</v>
      </c>
      <c r="L97">
        <v>0.72</v>
      </c>
      <c r="M97">
        <v>0</v>
      </c>
      <c r="N97" t="s">
        <v>18</v>
      </c>
    </row>
    <row r="98" spans="1:14" x14ac:dyDescent="0.3">
      <c r="A98">
        <v>97</v>
      </c>
      <c r="B98" t="s">
        <v>243</v>
      </c>
      <c r="C98" t="s">
        <v>244</v>
      </c>
      <c r="D98">
        <v>1.44</v>
      </c>
      <c r="E98" t="s">
        <v>16</v>
      </c>
      <c r="F98">
        <v>171</v>
      </c>
      <c r="G98">
        <v>2020</v>
      </c>
      <c r="H98" t="s">
        <v>245</v>
      </c>
      <c r="I98" t="b">
        <v>0</v>
      </c>
      <c r="J98">
        <v>0.54</v>
      </c>
      <c r="K98">
        <v>0.8</v>
      </c>
      <c r="L98">
        <v>0.36</v>
      </c>
      <c r="M98">
        <v>0.01</v>
      </c>
      <c r="N98" t="s">
        <v>18</v>
      </c>
    </row>
    <row r="99" spans="1:14" x14ac:dyDescent="0.3">
      <c r="A99">
        <v>98</v>
      </c>
      <c r="B99" t="s">
        <v>246</v>
      </c>
      <c r="C99" t="s">
        <v>247</v>
      </c>
      <c r="D99">
        <v>1.56</v>
      </c>
      <c r="E99" t="s">
        <v>54</v>
      </c>
      <c r="F99">
        <v>150</v>
      </c>
      <c r="G99">
        <v>2018</v>
      </c>
      <c r="H99" t="s">
        <v>29</v>
      </c>
      <c r="I99" t="b">
        <v>0</v>
      </c>
      <c r="J99">
        <v>0.64</v>
      </c>
      <c r="K99">
        <v>0.42</v>
      </c>
      <c r="L99">
        <v>0.72</v>
      </c>
      <c r="M99">
        <v>0.38</v>
      </c>
      <c r="N99" t="s">
        <v>18</v>
      </c>
    </row>
    <row r="100" spans="1:14" x14ac:dyDescent="0.3">
      <c r="A100">
        <v>99</v>
      </c>
      <c r="B100" t="s">
        <v>248</v>
      </c>
      <c r="C100" t="s">
        <v>249</v>
      </c>
      <c r="D100">
        <v>3.05</v>
      </c>
      <c r="E100" t="s">
        <v>41</v>
      </c>
      <c r="F100">
        <v>142</v>
      </c>
      <c r="G100">
        <v>2020</v>
      </c>
      <c r="H100" t="s">
        <v>17</v>
      </c>
      <c r="I100" t="b">
        <v>1</v>
      </c>
      <c r="J100">
        <v>0.82</v>
      </c>
      <c r="K100">
        <v>0.62</v>
      </c>
      <c r="L100">
        <v>0.55000000000000004</v>
      </c>
      <c r="M100">
        <v>0.02</v>
      </c>
      <c r="N100" t="s">
        <v>18</v>
      </c>
    </row>
    <row r="101" spans="1:14" x14ac:dyDescent="0.3">
      <c r="A101">
        <v>100</v>
      </c>
      <c r="B101" t="s">
        <v>250</v>
      </c>
      <c r="C101" t="s">
        <v>94</v>
      </c>
      <c r="D101">
        <v>1.6</v>
      </c>
      <c r="E101" t="s">
        <v>25</v>
      </c>
      <c r="F101">
        <v>160</v>
      </c>
      <c r="G101">
        <v>2014</v>
      </c>
      <c r="H101" t="s">
        <v>29</v>
      </c>
      <c r="I101" t="b">
        <v>0</v>
      </c>
      <c r="J101">
        <v>0.65</v>
      </c>
      <c r="K101">
        <v>0.8</v>
      </c>
      <c r="L101">
        <v>0.94</v>
      </c>
      <c r="M101">
        <v>0.06</v>
      </c>
      <c r="N101" t="s">
        <v>18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Pivots</vt:lpstr>
      <vt:lpstr>Dashboard</vt:lpstr>
      <vt:lpstr>spotify_alltime_top100_songs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AJAY SINGH</cp:lastModifiedBy>
  <dcterms:created xsi:type="dcterms:W3CDTF">2026-04-05T17:08:37Z</dcterms:created>
  <dcterms:modified xsi:type="dcterms:W3CDTF">2026-04-05T21:15:33Z</dcterms:modified>
</cp:coreProperties>
</file>